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Gallucci\source\repos\Quisitive\DPi30\azure-deployment-coe\code\infrastructure\scripts\ps\azure\config\"/>
    </mc:Choice>
  </mc:AlternateContent>
  <xr:revisionPtr revIDLastSave="0" documentId="13_ncr:1_{BFFBFA8E-4B3D-4D64-A3BC-5FAE318F1F13}" xr6:coauthVersionLast="45" xr6:coauthVersionMax="45" xr10:uidLastSave="{00000000-0000-0000-0000-000000000000}"/>
  <bookViews>
    <workbookView xWindow="-28920" yWindow="-120" windowWidth="29040" windowHeight="15990" tabRatio="843" firstSheet="6" activeTab="16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z-synapse-dw" sheetId="111" r:id="rId17"/>
    <sheet name="Az-data-lake-store" sheetId="114" r:id="rId18"/>
    <sheet name="Az-sql-server" sheetId="33" r:id="rId19"/>
    <sheet name="Az-data-factory" sheetId="100" r:id="rId20"/>
    <sheet name="A-key-vault" sheetId="97" r:id="rId21"/>
    <sheet name="Az-storage-account" sheetId="2" r:id="rId22"/>
    <sheet name="Az-logic-app" sheetId="110" r:id="rId23"/>
    <sheet name="Az-cosmos-db" sheetId="113" r:id="rId24"/>
    <sheet name="Az-stream-analytics-job" sheetId="112" r:id="rId25"/>
    <sheet name="Az-analysis-services" sheetId="109" r:id="rId26"/>
    <sheet name="Az-sql-managed-instance" sheetId="106" r:id="rId27"/>
    <sheet name="Az-storage-account-container" sheetId="95" r:id="rId28"/>
    <sheet name="Az-storage-account-fileshare" sheetId="23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5">'Az-analysis-services'!$A$2:INDEX('Az-analysis-services'!$A$2:$A$2,COUNTIF('Az-analysis-services'!$A$2:$A$2,"&lt;&gt;"&amp;""))</definedName>
    <definedName name="sql_Server_Name" localSheetId="22">'Az-logic-app'!$A$2:INDEX('Az-logic-app'!$A$2:$A$2,COUNTIF('Az-logic-app'!$A$2:$A$2,"&lt;&gt;"&amp;""))</definedName>
    <definedName name="sql_Server_Name" localSheetId="26">'Az-sql-managed-instance'!$A$2:INDEX('Az-sql-managed-instance'!$A$2:$A$2,COUNTIF('Az-sql-managed-instance'!$A$2:$A$2,"&lt;&gt;"&amp;""))</definedName>
    <definedName name="sql_Server_Name" localSheetId="24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7">'Az-data-lake-store'!$A$2:INDEX('Az-data-lake-store'!$A$2:$A$949,COUNTIF('Az-data-lake-store'!$A$2:$A$949,"&lt;&gt;"&amp;""))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29" l="1"/>
  <c r="B4" i="29"/>
  <c r="B5" i="29"/>
  <c r="B6" i="29"/>
  <c r="B7" i="29"/>
  <c r="B2" i="29"/>
  <c r="C2" i="106" l="1"/>
  <c r="D2" i="106"/>
  <c r="E2" i="106"/>
  <c r="C2" i="104"/>
  <c r="D2" i="104"/>
  <c r="C17" i="67" l="1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3" i="67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2" i="67"/>
  <c r="J5" i="67"/>
  <c r="B53" i="88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A2" i="106" l="1"/>
  <c r="A2" i="100"/>
  <c r="A3" i="29"/>
  <c r="A2" i="102"/>
  <c r="A2" i="112"/>
  <c r="B2" i="105"/>
  <c r="Q2" i="112"/>
  <c r="A2" i="111"/>
  <c r="B2" i="100"/>
  <c r="B2" i="106"/>
  <c r="A6" i="29"/>
  <c r="T2" i="110"/>
  <c r="B3" i="97"/>
  <c r="E2" i="101"/>
  <c r="B2" i="111"/>
  <c r="A2" i="29"/>
  <c r="A2" i="101"/>
  <c r="R2" i="112"/>
  <c r="B2" i="95"/>
  <c r="A3" i="100"/>
  <c r="A2" i="113"/>
  <c r="E2" i="103"/>
  <c r="B2" i="110"/>
  <c r="C2" i="105"/>
  <c r="A2" i="103"/>
  <c r="B2" i="97"/>
  <c r="C2" i="99"/>
  <c r="B2" i="109"/>
  <c r="A2" i="99"/>
  <c r="B2" i="2"/>
  <c r="B2" i="103"/>
  <c r="E2" i="105"/>
  <c r="B2" i="33"/>
  <c r="R2" i="110"/>
  <c r="A2" i="97"/>
  <c r="B2" i="112"/>
  <c r="A2" i="2"/>
  <c r="A2" i="105"/>
  <c r="E2" i="102"/>
  <c r="B2" i="23"/>
  <c r="A5" i="29"/>
  <c r="S2" i="110"/>
  <c r="B2" i="102"/>
  <c r="C2" i="23"/>
  <c r="A2" i="114"/>
  <c r="A3" i="97"/>
  <c r="P2" i="112"/>
  <c r="C2" i="113"/>
  <c r="B2" i="113"/>
  <c r="B3" i="100"/>
  <c r="A2" i="33"/>
  <c r="C2" i="111"/>
  <c r="A2" i="109"/>
  <c r="A2" i="104"/>
  <c r="A4" i="29"/>
  <c r="C2" i="95"/>
  <c r="B2" i="114"/>
  <c r="B2" i="104"/>
  <c r="A2" i="110"/>
  <c r="S2" i="112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<sst xmlns="http://schemas.openxmlformats.org/spreadsheetml/2006/main" count="4691" uniqueCount="2047">
  <si>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</si>
  <si>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</si>
  <si>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</si>
  <si>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</si>
  <si>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</si>
  <si>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</si>
  <si>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</si>
  <si>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</si>
  <si>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</si>
  <si>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</si>
  <si>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</si>
  <si>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</si>
  <si>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</si>
  <si>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</si>
  <si>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</si>
  <si>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</si>
  <si>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</si>
  <si>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</si>
  <si>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</si>
  <si>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</si>
  <si>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</si>
  <si>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</si>
  <si>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</si>
  <si>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</si>
  <si>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</si>
  <si>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</si>
  <si>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</si>
  <si>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</si>
  <si>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</si>
  <si>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</si>
  <si>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</si>
  <si>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</si>
  <si>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</si>
  <si>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</si>
  <si>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</si>
  <si>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</si>
  <si>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</si>
  <si>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</si>
  <si>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</si>
  <si>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</si>
  <si>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</si>
  <si>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</si>
  <si>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</si>
  <si>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</si>
  <si>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</si>
  <si>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</si>
  <si>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</si>
  <si>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</si>
  <si>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</si>
  <si>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</si>
  <si>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</si>
  <si>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</si>
  <si>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</si>
  <si>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</si>
  <si>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</si>
  <si>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</si>
  <si>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</si>
  <si>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</si>
  <si>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</si>
  <si>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</si>
  <si>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</si>
  <si>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</si>
  <si>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</si>
  <si>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</si>
  <si>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</si>
  <si>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</si>
  <si>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</si>
  <si>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</si>
  <si>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</si>
  <si>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</si>
  <si>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</si>
  <si>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</si>
  <si>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</si>
  <si>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</si>
  <si>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</si>
  <si>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</si>
  <si>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</si>
  <si>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</si>
  <si>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</si>
  <si>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</si>
  <si>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</si>
  <si>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</si>
  <si>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</si>
  <si>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</si>
  <si>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</si>
  <si>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</si>
  <si>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</si>
  <si>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</si>
  <si>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</si>
  <si>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</si>
  <si>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</si>
  <si>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</si>
  <si>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</si>
  <si>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</si>
  <si>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</si>
  <si>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</si>
  <si>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</si>
  <si>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</si>
  <si>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</si>
  <si>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</si>
  <si>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</si>
  <si>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</si>
  <si>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</si>
  <si>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</si>
  <si>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</si>
  <si>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</si>
  <si>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</si>
  <si>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</si>
  <si>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</si>
  <si>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</si>
  <si>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</si>
  <si>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</si>
  <si>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</si>
  <si>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</si>
  <si>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</si>
  <si>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</si>
  <si>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</si>
  <si>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</si>
  <si>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</si>
  <si>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</si>
  <si>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</si>
  <si>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</si>
  <si>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</si>
  <si>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</si>
  <si>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</si>
  <si>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</si>
  <si>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</si>
  <si>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</si>
  <si>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</si>
  <si>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</si>
  <si>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</si>
  <si>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</si>
  <si>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</si>
  <si>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</si>
  <si>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</si>
  <si>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</si>
  <si>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</si>
  <si>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</si>
  <si>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</si>
  <si>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</si>
  <si>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</si>
  <si>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</si>
  <si>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</si>
  <si>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</si>
  <si>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</si>
  <si>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</si>
  <si>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</si>
  <si>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</si>
  <si>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</si>
  <si>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</si>
  <si>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</si>
  <si>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</si>
  <si>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</si>
  <si>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</si>
  <si>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</si>
  <si>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</si>
  <si>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</si>
  <si>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</si>
  <si>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</si>
  <si>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</si>
  <si>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</si>
  <si>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</si>
  <si>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</si>
  <si>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</si>
  <si>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</si>
  <si>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</si>
  <si>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</si>
  <si>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</si>
  <si>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</si>
  <si>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</si>
  <si>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</si>
  <si>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</si>
  <si>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</si>
  <si>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</si>
  <si>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</si>
  <si>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</si>
  <si>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</si>
  <si>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</si>
  <si>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</si>
  <si>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</si>
  <si>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</si>
  <si>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</si>
  <si>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</si>
  <si>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</si>
  <si>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</si>
  <si>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</si>
  <si>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</si>
  <si>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</si>
  <si>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</si>
  <si>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</si>
  <si>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</si>
  <si>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</si>
  <si>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</si>
  <si>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</si>
  <si>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</si>
  <si>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</si>
  <si>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</si>
  <si>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</si>
  <si>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</si>
  <si>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</si>
  <si>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</si>
  <si>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</si>
  <si>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</si>
  <si>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</si>
  <si>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</si>
  <si>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</si>
  <si>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</si>
  <si>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</si>
  <si>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</si>
  <si>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</si>
  <si>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</si>
  <si>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</si>
  <si>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</si>
  <si>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</si>
  <si>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</si>
  <si>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</si>
  <si>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</si>
  <si>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</si>
  <si>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</si>
  <si>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</si>
  <si>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</si>
  <si>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</si>
  <si>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</si>
  <si>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</si>
  <si>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</si>
  <si>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</si>
  <si>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</si>
  <si>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</si>
  <si>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</si>
  <si>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</si>
  <si>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</si>
  <si>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</si>
  <si>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</si>
  <si>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</si>
  <si>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</si>
  <si>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</si>
  <si>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</si>
  <si>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</si>
  <si>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</si>
  <si>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</si>
  <si>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</si>
  <si>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</si>
  <si>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</si>
  <si>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</si>
  <si>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</si>
  <si>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</si>
  <si>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</si>
  <si>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</si>
  <si>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</si>
  <si>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</si>
  <si>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</si>
  <si>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</si>
  <si>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</si>
  <si>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</si>
  <si>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</si>
  <si>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</si>
  <si>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</si>
  <si>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</si>
  <si>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</si>
  <si>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</si>
  <si>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</si>
  <si>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</si>
  <si>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</si>
  <si>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</si>
  <si>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</si>
  <si>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</si>
  <si>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</si>
  <si>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</si>
  <si>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</si>
  <si>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</si>
  <si>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</si>
  <si>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</si>
  <si>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</si>
  <si>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</si>
  <si>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</si>
  <si>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</si>
  <si>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</si>
  <si>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</si>
  <si>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</si>
  <si>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</si>
  <si>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</si>
  <si>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</si>
  <si>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</si>
  <si>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</si>
  <si>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</si>
  <si>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</si>
  <si>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</si>
  <si>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</si>
  <si>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</si>
  <si>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</si>
  <si>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</si>
  <si>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</si>
  <si>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</si>
  <si>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</si>
  <si>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</si>
  <si>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</si>
  <si>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</si>
  <si>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</si>
  <si>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</si>
  <si>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</si>
  <si>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</si>
  <si>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</si>
  <si>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</si>
  <si>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</si>
  <si>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</si>
  <si>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</si>
  <si>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</si>
  <si>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</si>
  <si>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</si>
  <si>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</si>
  <si>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</si>
  <si>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</si>
  <si>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</si>
  <si>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</si>
  <si>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</si>
  <si>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</si>
  <si>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</si>
  <si>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</si>
  <si>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</si>
  <si>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</si>
  <si>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</si>
  <si>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</si>
  <si>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</si>
  <si>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</si>
  <si>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</si>
  <si>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</si>
  <si>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</si>
  <si>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</si>
  <si>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</si>
  <si>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</si>
  <si>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</si>
  <si>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</si>
  <si>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</si>
  <si>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</si>
  <si>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</si>
  <si>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</si>
  <si>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</si>
  <si>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</si>
  <si>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</si>
  <si>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</si>
  <si>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</si>
  <si>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</si>
  <si>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</si>
  <si>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</si>
  <si>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</si>
  <si>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</si>
  <si>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</si>
  <si>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</si>
  <si>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</si>
  <si>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</si>
  <si>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</si>
  <si>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</si>
  <si>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</si>
  <si>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</si>
  <si>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</si>
  <si>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</si>
  <si>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</si>
  <si>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</si>
  <si>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</si>
  <si>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</si>
  <si>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</si>
  <si>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</si>
  <si>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</si>
  <si>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</si>
  <si>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</si>
  <si>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</si>
  <si>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</si>
  <si>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</si>
  <si>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</si>
  <si>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</si>
  <si>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</si>
  <si>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</si>
  <si>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</si>
  <si>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</si>
  <si>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</si>
  <si>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</si>
  <si>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</si>
  <si>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</si>
  <si>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</si>
  <si>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</si>
  <si>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</si>
  <si>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</si>
  <si>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</si>
  <si>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</si>
  <si>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</si>
  <si>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</si>
  <si>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</si>
  <si>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</si>
  <si>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</si>
  <si>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</si>
  <si>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</si>
  <si>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</si>
  <si>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</si>
  <si>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</si>
  <si>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</si>
  <si>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</si>
  <si>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</si>
  <si>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</si>
  <si>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</si>
  <si>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</si>
  <si>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</si>
  <si>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</si>
  <si>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</si>
  <si>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</si>
  <si>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</si>
  <si>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</si>
  <si>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</si>
  <si>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</si>
  <si>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</si>
  <si>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</si>
  <si>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</si>
  <si>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</si>
  <si>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</si>
  <si>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</si>
  <si>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</si>
  <si>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</si>
  <si>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</si>
  <si>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</si>
  <si>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</si>
  <si>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</si>
  <si>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</si>
  <si>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</si>
  <si>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</si>
  <si>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</si>
  <si>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</si>
  <si>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</si>
  <si>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</si>
  <si>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</si>
  <si>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</si>
  <si>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</si>
  <si>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</si>
  <si>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</si>
  <si>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</si>
  <si>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</si>
  <si>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</si>
  <si>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</si>
  <si>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</si>
  <si>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</si>
  <si>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</si>
  <si>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</si>
  <si>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</si>
  <si>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</si>
  <si>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</si>
  <si>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</si>
  <si>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</si>
  <si>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</si>
  <si>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</si>
  <si>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</si>
  <si>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</si>
  <si>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</si>
  <si>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</si>
  <si>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</si>
  <si>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</si>
  <si>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</si>
  <si>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</si>
  <si>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</si>
  <si>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</si>
  <si>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</si>
  <si>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</si>
  <si>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</si>
  <si>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</si>
  <si>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</si>
  <si>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</si>
  <si>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</si>
  <si>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</si>
  <si>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</si>
  <si>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</si>
  <si>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</si>
  <si>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</si>
  <si>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</si>
  <si>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</si>
  <si>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</si>
  <si>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</si>
  <si>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</si>
  <si>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</si>
  <si>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</si>
  <si>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</si>
  <si>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</si>
  <si>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</si>
  <si>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</si>
  <si>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</si>
  <si>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</si>
  <si>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</si>
  <si>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</si>
  <si>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</si>
  <si>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</si>
  <si>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</si>
  <si>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</si>
  <si>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</si>
  <si>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</si>
  <si>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</si>
  <si>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</si>
  <si>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</si>
  <si>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</si>
  <si>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</si>
  <si>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</si>
  <si>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</si>
  <si>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</si>
  <si>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</si>
  <si>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</si>
  <si>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</si>
  <si>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</si>
  <si>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</si>
  <si>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</si>
  <si>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</si>
  <si>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</si>
  <si>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</si>
  <si>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</si>
  <si>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</si>
  <si>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</si>
  <si>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</si>
  <si>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</si>
  <si>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</si>
  <si>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</si>
  <si>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</si>
  <si>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</si>
  <si>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</si>
  <si>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</si>
  <si>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</si>
  <si>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</si>
  <si>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</si>
  <si>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</si>
  <si>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</si>
  <si>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</si>
  <si>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</si>
  <si>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</si>
  <si>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</si>
  <si>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</si>
  <si>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</si>
  <si>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</si>
  <si>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</si>
  <si>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</si>
  <si>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</si>
  <si>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</si>
  <si>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</si>
  <si>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</si>
  <si>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</si>
  <si>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</si>
  <si>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</si>
  <si>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</si>
  <si>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</si>
  <si>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</si>
  <si>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</si>
  <si>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</si>
  <si>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</si>
  <si>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</si>
  <si>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</si>
  <si>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</si>
  <si>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</si>
  <si>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</si>
  <si>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</si>
  <si>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</si>
  <si>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</si>
  <si>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</si>
  <si>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</si>
  <si>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</si>
  <si>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</si>
  <si>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</si>
  <si>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</si>
  <si>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</si>
  <si>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</si>
  <si>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</si>
  <si>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</si>
  <si>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</si>
  <si>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</si>
  <si>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</si>
  <si>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</si>
  <si>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</si>
  <si>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</si>
  <si>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</si>
  <si>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</si>
  <si>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</si>
  <si>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</si>
  <si>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</si>
  <si>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</si>
  <si>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</si>
  <si>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</si>
  <si>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</si>
  <si>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</si>
  <si>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</si>
  <si>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</si>
  <si>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</si>
  <si>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</si>
  <si>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</si>
  <si>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</si>
  <si>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</si>
  <si>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</si>
  <si>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</si>
  <si>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</si>
  <si>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</si>
  <si>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</si>
  <si>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</si>
  <si>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</si>
  <si>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</si>
  <si>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</si>
  <si>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</si>
  <si>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</si>
  <si>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</si>
  <si>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</si>
  <si>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</si>
  <si>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</si>
  <si>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</si>
  <si>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</si>
  <si>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</si>
  <si>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</si>
  <si>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</si>
  <si>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</si>
  <si>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</si>
  <si>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</si>
  <si>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</si>
  <si>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</si>
  <si>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</si>
  <si>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</si>
  <si>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</si>
  <si>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</si>
  <si>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</si>
  <si>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</si>
  <si>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</si>
  <si>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</si>
  <si>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</si>
  <si>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</si>
  <si>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</si>
  <si>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</si>
  <si>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</si>
  <si>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</si>
  <si>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</si>
  <si>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</si>
  <si>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</si>
  <si>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</si>
  <si>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</si>
  <si>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</si>
  <si>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</si>
  <si>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</si>
  <si>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</si>
  <si>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</si>
  <si>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</si>
  <si>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</si>
  <si>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</si>
  <si>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</si>
  <si>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</si>
  <si>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</si>
  <si>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</si>
  <si>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</si>
  <si>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</si>
  <si>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</si>
  <si>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</si>
  <si>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</si>
  <si>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</si>
  <si>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</si>
  <si>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</si>
  <si>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</si>
  <si>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</si>
  <si>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</si>
  <si>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</si>
  <si>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</si>
  <si>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</si>
  <si>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</si>
  <si>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</si>
  <si>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</si>
  <si>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</si>
  <si>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</si>
  <si>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</si>
  <si>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</si>
  <si>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</si>
  <si>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</si>
  <si>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</si>
  <si>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</si>
  <si>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</si>
  <si>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</si>
  <si>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</si>
  <si>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</si>
  <si>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</si>
  <si>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</si>
  <si>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</si>
  <si>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</si>
  <si>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</si>
  <si>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</si>
  <si>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</si>
  <si>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</si>
  <si>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</si>
  <si>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</si>
  <si>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</si>
  <si>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</si>
  <si>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</si>
  <si>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</si>
  <si>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</si>
  <si>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</si>
  <si>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</si>
  <si>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</si>
  <si>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</si>
  <si>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</si>
  <si>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</si>
  <si>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</si>
  <si>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</si>
  <si>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</si>
  <si>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</si>
  <si>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</si>
  <si>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</si>
  <si>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</si>
  <si>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</si>
  <si>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</si>
  <si>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</si>
  <si>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</si>
  <si>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</si>
  <si>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</si>
  <si>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</si>
  <si>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</si>
  <si>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</si>
  <si>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</si>
  <si>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</si>
  <si>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</si>
  <si>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</si>
  <si>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</si>
  <si>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</si>
  <si>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</si>
  <si>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</si>
  <si>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</si>
  <si>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</si>
  <si>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</si>
  <si>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</si>
  <si>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</si>
  <si>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</si>
  <si>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</si>
  <si>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</si>
  <si>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</si>
  <si>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</si>
  <si>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</si>
  <si>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</si>
  <si>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</si>
  <si>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</si>
  <si>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</si>
  <si>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</si>
  <si>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</si>
  <si>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</si>
  <si>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</si>
  <si>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</si>
  <si>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</si>
  <si>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</si>
  <si>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</si>
  <si>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</si>
  <si>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</si>
  <si>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</si>
  <si>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</si>
  <si>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</si>
  <si>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</si>
  <si>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</si>
  <si>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</si>
  <si>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</si>
  <si>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</si>
  <si>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</si>
  <si>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</si>
  <si>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</si>
  <si>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</si>
  <si>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</si>
  <si>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</si>
  <si>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</si>
  <si>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</si>
  <si>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</si>
  <si>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</si>
  <si>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</si>
  <si>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</si>
  <si>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</si>
  <si>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</si>
  <si>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</si>
  <si>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</si>
  <si>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</si>
  <si>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</si>
  <si>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</si>
  <si>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</si>
  <si>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</si>
  <si>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</si>
  <si>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</si>
  <si>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</si>
  <si>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</si>
  <si>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</si>
  <si>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</si>
  <si>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</si>
  <si>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</si>
  <si>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</si>
  <si>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</si>
  <si>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</si>
  <si>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</si>
  <si>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</si>
  <si>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</si>
  <si>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</si>
  <si>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</si>
  <si>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</si>
  <si>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</si>
  <si>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</si>
  <si>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</si>
  <si>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</si>
  <si>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</si>
  <si>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</si>
  <si>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</si>
  <si>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</si>
  <si>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</si>
  <si>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</si>
  <si>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</si>
  <si>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</si>
  <si>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</si>
  <si>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</si>
  <si>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</si>
  <si>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</si>
  <si>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</si>
  <si>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</si>
  <si>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</si>
  <si>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</si>
  <si>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</si>
  <si>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</si>
  <si>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</si>
  <si>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</si>
  <si>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</si>
  <si>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</si>
  <si>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</si>
  <si>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</si>
  <si>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</si>
  <si>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</si>
  <si>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</si>
  <si>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</si>
  <si>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</si>
  <si>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</si>
  <si>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</si>
  <si>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</si>
  <si>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</si>
  <si>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</si>
  <si>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</si>
  <si>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</si>
  <si>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</si>
  <si>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</si>
  <si>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</si>
  <si>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</si>
  <si>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</si>
  <si>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</si>
  <si>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</si>
  <si>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</si>
  <si>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</si>
  <si>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</si>
  <si>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</si>
  <si>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</si>
  <si>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</si>
  <si>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</si>
  <si>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</si>
  <si>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</si>
  <si>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</si>
  <si>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</si>
  <si>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</si>
  <si>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</si>
  <si>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</si>
  <si>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</si>
  <si>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</si>
  <si>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</si>
  <si>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</si>
  <si>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</si>
  <si>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</si>
  <si>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</si>
  <si>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</si>
  <si>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</si>
  <si>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</si>
  <si>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</si>
  <si>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</si>
  <si>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</si>
  <si>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</si>
  <si>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</si>
  <si>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</si>
  <si>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</si>
  <si>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</si>
  <si>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</si>
  <si>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</si>
  <si>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</si>
  <si>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</si>
  <si>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</si>
  <si>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</si>
  <si>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</si>
  <si>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</si>
  <si>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</si>
  <si>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</si>
  <si>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</si>
  <si>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</si>
  <si>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</si>
  <si>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</si>
  <si>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</si>
  <si>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</si>
  <si>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</si>
  <si>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</si>
  <si>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</si>
  <si>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</si>
  <si>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</si>
  <si>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</si>
  <si>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</si>
  <si>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</si>
  <si>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</si>
  <si>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</si>
  <si>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</si>
  <si>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</si>
  <si>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</si>
  <si>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</si>
  <si>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</si>
  <si>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</si>
  <si>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</si>
  <si>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</si>
  <si>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</si>
  <si>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</si>
  <si>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</si>
  <si>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</si>
  <si>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</si>
  <si>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</si>
  <si>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</si>
  <si>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</si>
  <si>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</si>
  <si>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</si>
  <si>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</si>
  <si>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</si>
  <si>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</si>
  <si>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</si>
  <si>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</si>
  <si>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</si>
  <si>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</si>
  <si>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</si>
  <si>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</si>
  <si>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</si>
  <si>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</si>
  <si>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</si>
  <si>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</si>
  <si>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</si>
  <si>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</si>
  <si>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</si>
  <si>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</si>
  <si>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</si>
  <si>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</si>
  <si>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</si>
  <si>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</si>
  <si>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</si>
  <si>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</si>
  <si>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</si>
  <si>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</si>
  <si>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</si>
  <si>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</si>
  <si>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</si>
  <si>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</si>
  <si>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</si>
  <si>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</si>
  <si>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</si>
  <si>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</si>
  <si>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</si>
  <si>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</si>
  <si>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</si>
  <si>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</si>
  <si>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</si>
  <si>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</si>
  <si>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</si>
  <si>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</si>
  <si>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</si>
  <si>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</si>
  <si>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</si>
  <si>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</si>
  <si>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</si>
  <si>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</si>
  <si>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</si>
  <si>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</si>
  <si>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</si>
  <si>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</si>
  <si>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</si>
  <si>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</si>
  <si>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</si>
  <si>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</si>
  <si>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</si>
  <si>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</si>
  <si>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</si>
  <si>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</si>
  <si>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</si>
  <si>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</si>
  <si>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</si>
  <si>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</si>
  <si>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</si>
  <si>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</si>
  <si>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</si>
  <si>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</si>
  <si>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</si>
  <si>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</si>
  <si>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</si>
  <si>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</si>
  <si>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</si>
  <si>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</si>
  <si>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</si>
  <si>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</si>
  <si>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</si>
  <si>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</si>
  <si>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</si>
  <si>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</si>
  <si>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</si>
  <si>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</si>
  <si>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</si>
  <si>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</si>
  <si>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</si>
  <si>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</si>
  <si>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</si>
  <si>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</si>
  <si>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</si>
  <si>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</si>
  <si>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</si>
  <si>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</si>
  <si>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</si>
  <si>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</si>
  <si>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</si>
  <si>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</si>
  <si>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</si>
  <si>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</si>
  <si>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</si>
  <si>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</si>
  <si>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</si>
  <si>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</si>
  <si>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</si>
  <si>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</si>
  <si>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</si>
  <si>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</si>
  <si>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</si>
  <si>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</si>
  <si>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</si>
  <si>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</si>
  <si>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</si>
  <si>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</si>
  <si>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</si>
  <si>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</si>
  <si>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</si>
  <si>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</si>
  <si>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</si>
  <si>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</si>
  <si>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</si>
  <si>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</si>
  <si>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</si>
  <si>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</si>
  <si>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</si>
  <si>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</si>
  <si>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</si>
  <si>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</si>
  <si>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</si>
  <si>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</si>
  <si>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</si>
  <si>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</si>
  <si>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</si>
  <si>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</si>
  <si>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</si>
  <si>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</si>
  <si>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</si>
  <si>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</si>
  <si>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</si>
  <si>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</si>
  <si>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</si>
  <si>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</si>
  <si>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</si>
  <si>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</si>
  <si>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</si>
  <si>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</si>
  <si>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</si>
  <si>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</si>
  <si>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</si>
  <si>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</si>
  <si>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</si>
  <si>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</si>
  <si>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</si>
  <si>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</si>
  <si>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</si>
  <si>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</si>
  <si>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</si>
  <si>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</si>
  <si>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</si>
  <si>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</si>
  <si>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</si>
  <si>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</si>
  <si>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</si>
  <si>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</si>
  <si>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</si>
  <si>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</si>
  <si>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</si>
  <si>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</si>
  <si>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</si>
  <si>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</si>
  <si>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</si>
  <si>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</si>
  <si>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</si>
  <si>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</si>
  <si>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</si>
  <si>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</si>
  <si>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</si>
  <si>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</si>
  <si>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</si>
  <si>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</si>
  <si>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</si>
  <si>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</si>
  <si>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</si>
  <si>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</si>
  <si>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</si>
  <si>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</si>
  <si>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</si>
  <si>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</si>
  <si>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</si>
  <si>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</si>
  <si>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</si>
  <si>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</si>
  <si>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</si>
  <si>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</si>
  <si>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</si>
  <si>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</si>
  <si>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</si>
  <si>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</si>
  <si>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</si>
  <si>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</si>
  <si>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</si>
  <si>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</si>
  <si>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</si>
  <si>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</si>
  <si>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</si>
  <si>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</si>
  <si>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</si>
  <si>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</si>
  <si>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</si>
  <si>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</si>
  <si>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</si>
  <si>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</si>
  <si>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</si>
  <si>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</si>
  <si>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</si>
  <si>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</si>
  <si>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</si>
  <si>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</si>
  <si>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</si>
  <si>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</si>
  <si>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</si>
  <si>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</si>
  <si>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</si>
  <si>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</si>
  <si>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</si>
  <si>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</si>
  <si>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</si>
  <si>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</si>
  <si>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</si>
  <si>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</si>
  <si>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</si>
  <si>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</si>
  <si>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</si>
  <si>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</si>
  <si>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</si>
  <si>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</si>
  <si>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</si>
  <si>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</si>
  <si>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</si>
  <si>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</si>
  <si>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</si>
  <si>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</si>
  <si>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</si>
  <si>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</si>
  <si>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</si>
  <si>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</si>
  <si>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</si>
  <si>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</si>
  <si>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</si>
  <si>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</si>
  <si>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</si>
  <si>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</si>
  <si>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</si>
  <si>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</si>
  <si>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</si>
  <si>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</si>
  <si>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</si>
  <si>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</si>
  <si>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</si>
  <si>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</si>
  <si>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</si>
  <si>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</si>
  <si>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</si>
  <si>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</si>
  <si>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</si>
  <si>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</si>
  <si>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</si>
  <si>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</si>
  <si>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</si>
  <si>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</si>
  <si>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</si>
  <si>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</si>
  <si>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</si>
  <si>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</si>
  <si>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</si>
  <si>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</si>
  <si>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</si>
  <si>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</si>
  <si>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</si>
  <si>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</si>
  <si>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</si>
  <si>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</si>
  <si>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</si>
  <si>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</si>
  <si>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</si>
  <si>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</si>
  <si>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</si>
  <si>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</si>
  <si>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</si>
  <si>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</si>
  <si>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</si>
  <si>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</si>
  <si>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</si>
  <si>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</si>
  <si>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</si>
  <si>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</si>
  <si>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</si>
  <si>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</si>
  <si>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</si>
  <si>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</si>
  <si>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</si>
  <si>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</si>
  <si>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</si>
  <si>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</si>
  <si>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</si>
  <si>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</si>
  <si>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</si>
  <si>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</si>
  <si>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</si>
  <si>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</si>
  <si>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</si>
  <si>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</si>
  <si>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</si>
  <si>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</si>
  <si>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</si>
  <si>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</si>
  <si>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</si>
  <si>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</si>
  <si>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</si>
  <si>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</si>
  <si>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</si>
  <si>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</si>
  <si>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</si>
  <si>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</si>
  <si>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</si>
  <si>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</si>
  <si>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</si>
  <si>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</si>
  <si>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</si>
  <si>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</si>
  <si>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</si>
  <si>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</si>
  <si>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</si>
  <si>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</si>
  <si>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</si>
  <si>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</si>
  <si>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</si>
  <si>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</si>
  <si>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</si>
  <si>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</si>
  <si>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</si>
  <si>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</si>
  <si>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</si>
  <si>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</si>
  <si>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</si>
  <si>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</si>
  <si>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</si>
  <si>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</si>
  <si>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</si>
  <si>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</si>
  <si>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</si>
  <si>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</si>
  <si>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</si>
  <si>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</si>
  <si>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</si>
  <si>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</si>
  <si>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</si>
  <si>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</si>
  <si>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</si>
  <si>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</si>
  <si>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</si>
  <si>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</si>
  <si>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</si>
  <si>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</si>
  <si>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</si>
  <si>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</si>
  <si>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</si>
  <si>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</si>
  <si>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</si>
  <si>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</si>
  <si>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</si>
  <si>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</si>
  <si>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</si>
  <si>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</si>
  <si>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</si>
  <si>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</si>
  <si>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</si>
  <si>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</si>
  <si>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</si>
  <si>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</si>
  <si>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</si>
  <si>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</si>
  <si>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</si>
  <si>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</si>
  <si>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</si>
  <si>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</si>
  <si>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</si>
  <si>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</si>
  <si>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</si>
  <si>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</si>
  <si>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</si>
  <si>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</si>
  <si>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</si>
  <si>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</si>
  <si>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</si>
  <si>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</si>
  <si>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</si>
  <si>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</si>
  <si>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</si>
  <si>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</si>
  <si>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</si>
  <si>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</si>
  <si>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</si>
  <si>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</si>
  <si>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</si>
  <si>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</si>
  <si>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</si>
  <si>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</si>
  <si>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</si>
  <si>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</si>
  <si>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</si>
  <si>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</si>
  <si>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</si>
  <si>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</si>
  <si>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</si>
  <si>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</si>
  <si>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</si>
  <si>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</si>
  <si>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</si>
  <si>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</si>
  <si>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</si>
  <si>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</si>
  <si>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</si>
  <si>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</si>
  <si>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</si>
  <si>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</si>
  <si>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</si>
  <si>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</si>
  <si>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</si>
  <si>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</si>
  <si>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</si>
  <si>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</si>
  <si>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</si>
  <si>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</si>
  <si>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</si>
  <si>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</si>
  <si>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</si>
  <si>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</si>
  <si>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</si>
  <si>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</si>
  <si>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</si>
  <si>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</si>
  <si>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</si>
  <si>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</si>
  <si>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</si>
  <si>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</si>
  <si>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</si>
  <si>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</si>
  <si>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</si>
  <si>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</si>
  <si>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</si>
  <si>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</si>
  <si>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</si>
  <si>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</si>
  <si>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</si>
  <si>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</si>
  <si>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</si>
  <si>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</si>
  <si>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</si>
  <si>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</si>
  <si>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</si>
  <si>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</si>
  <si>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</si>
  <si>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</si>
  <si>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</si>
  <si>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</si>
  <si>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</si>
  <si>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</si>
  <si>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</si>
  <si>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</si>
  <si>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</si>
  <si>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</si>
  <si>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</si>
  <si>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</si>
  <si>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</si>
  <si>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</si>
  <si>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</si>
  <si>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</si>
  <si>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</si>
  <si>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</si>
  <si>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</si>
  <si>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</si>
  <si>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</si>
  <si>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</si>
  <si>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</si>
  <si>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</si>
  <si>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</si>
  <si>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</si>
  <si>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</si>
  <si>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</si>
  <si>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</si>
  <si>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</si>
  <si>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</si>
  <si>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</si>
  <si>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</si>
  <si>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</si>
  <si>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</si>
  <si>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</si>
  <si>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</si>
  <si>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</si>
  <si>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</si>
  <si>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</si>
  <si>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</si>
  <si>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</si>
  <si>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</si>
  <si>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</si>
  <si>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</si>
  <si>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</si>
  <si>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</si>
  <si>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</si>
  <si>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</si>
  <si>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</si>
  <si>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</si>
  <si>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</si>
  <si>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</si>
  <si>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</si>
  <si>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</si>
  <si>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</si>
  <si>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</si>
  <si>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</si>
  <si>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</si>
  <si>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</si>
  <si>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</si>
  <si>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</si>
  <si>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</si>
  <si>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</si>
  <si>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</si>
  <si>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</si>
  <si>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</si>
  <si>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</si>
  <si>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</si>
  <si>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</si>
  <si>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</si>
  <si>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</si>
  <si>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</si>
  <si>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</si>
  <si>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</si>
  <si>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</si>
  <si>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</si>
  <si>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</si>
  <si>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</si>
  <si>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</si>
  <si>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</si>
  <si>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</si>
  <si>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</si>
  <si>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</si>
  <si>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</si>
  <si>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</si>
  <si>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</si>
  <si>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</si>
  <si>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</si>
  <si>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</si>
  <si>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</si>
  <si>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</si>
  <si>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</si>
  <si>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</si>
  <si>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</si>
  <si>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</si>
  <si>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</si>
  <si>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</si>
  <si>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</si>
  <si>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</si>
  <si>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</si>
  <si>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</si>
  <si>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</si>
  <si>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</si>
  <si>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</si>
  <si>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</si>
  <si>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</si>
  <si>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</si>
  <si>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</si>
  <si>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</si>
  <si>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</si>
  <si>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</si>
  <si>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</si>
  <si>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</si>
  <si>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</si>
  <si>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</si>
  <si>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</si>
  <si>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</si>
  <si>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</si>
  <si>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</si>
  <si>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</si>
  <si>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</si>
  <si>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</si>
  <si>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</si>
  <si>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</si>
  <si>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</si>
  <si>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</si>
  <si>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</si>
  <si>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</si>
  <si>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</si>
  <si>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</si>
  <si>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</si>
  <si>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</si>
  <si>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</si>
  <si>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</si>
  <si>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</si>
  <si>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</si>
  <si>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</si>
  <si>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</si>
  <si>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</si>
  <si>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</si>
  <si>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</si>
  <si>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</si>
  <si>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</si>
  <si>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</si>
  <si>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</si>
  <si>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</si>
  <si>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</si>
  <si>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</si>
  <si>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</si>
  <si>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</si>
  <si>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</si>
  <si>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</si>
  <si>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</si>
  <si>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</si>
  <si>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</si>
  <si>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</si>
  <si>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</si>
  <si>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</si>
  <si>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</si>
  <si>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</si>
  <si>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</si>
  <si>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</si>
  <si>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</si>
  <si>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</si>
  <si>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</si>
  <si>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</si>
  <si>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</si>
  <si>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</si>
  <si>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</si>
  <si>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</si>
  <si>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</si>
  <si>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</si>
  <si>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</si>
  <si>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</si>
  <si>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</si>
  <si>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</si>
  <si>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</si>
  <si>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</si>
  <si>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</si>
  <si>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</si>
  <si>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</si>
  <si>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</si>
  <si>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</si>
  <si>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</si>
  <si>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</si>
  <si>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</si>
  <si>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</si>
  <si>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</si>
  <si>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</si>
  <si>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</si>
  <si>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</si>
  <si>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</si>
  <si>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</si>
  <si>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</si>
  <si>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</si>
  <si>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</si>
  <si>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</si>
  <si>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</si>
  <si>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</si>
  <si>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</si>
  <si>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</si>
  <si>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</si>
  <si>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</si>
  <si>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</si>
  <si>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</si>
  <si>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</si>
  <si>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</si>
  <si>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</si>
  <si>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</si>
  <si>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</si>
  <si>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</si>
  <si>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</si>
  <si>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</si>
  <si>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</si>
  <si>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</si>
  <si>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</si>
  <si>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</si>
  <si>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</si>
  <si>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</si>
  <si>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</si>
  <si>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</si>
  <si>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</si>
  <si>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</si>
  <si>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</si>
  <si>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</si>
  <si>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</si>
  <si>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</si>
  <si>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</si>
  <si>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</si>
  <si>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</si>
  <si>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</si>
  <si>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</si>
  <si>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</si>
  <si>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</si>
  <si>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</si>
  <si>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</si>
  <si>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</si>
  <si>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</si>
  <si>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</si>
  <si>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</si>
  <si>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</si>
  <si>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</si>
  <si>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</si>
  <si>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</si>
  <si>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</si>
  <si>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</si>
  <si>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</si>
  <si>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</si>
  <si>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</si>
  <si>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</si>
  <si>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</si>
  <si>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</si>
  <si>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</si>
  <si>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</si>
  <si>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</si>
  <si>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</si>
  <si>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</si>
  <si>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</si>
  <si>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</si>
  <si>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</si>
  <si>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</si>
  <si>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</si>
  <si>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</si>
  <si>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</si>
  <si>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</si>
  <si>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</si>
  <si>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</si>
  <si>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</si>
  <si>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</si>
  <si>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</si>
  <si>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</si>
  <si>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</si>
  <si>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</si>
  <si>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</si>
  <si>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</si>
  <si>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</si>
  <si>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</si>
  <si>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</si>
  <si>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</si>
  <si>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</si>
  <si>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</si>
  <si>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</si>
  <si>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</si>
  <si>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</si>
  <si>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</si>
  <si>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</si>
  <si>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</si>
  <si>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</si>
  <si>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</si>
  <si>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</si>
  <si>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</si>
  <si>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</si>
  <si>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</si>
  <si>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</si>
  <si>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</si>
  <si>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</si>
  <si>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</si>
  <si>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</si>
  <si>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</si>
  <si>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</si>
  <si>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</si>
  <si>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</si>
  <si>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</si>
  <si>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</si>
  <si>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</si>
  <si>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</si>
  <si>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</si>
  <si>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</si>
  <si>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</si>
  <si>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</si>
  <si>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</si>
  <si>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</si>
  <si>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</si>
  <si>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</si>
  <si>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</si>
  <si>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</si>
  <si>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</si>
  <si>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</si>
  <si>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</si>
  <si>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</si>
  <si>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</si>
  <si>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</si>
  <si>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</si>
  <si>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</si>
  <si>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</si>
  <si>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</si>
  <si>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</si>
  <si>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</si>
  <si>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</si>
  <si>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</si>
  <si>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</si>
  <si>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</si>
  <si>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</si>
  <si>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</si>
  <si>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</si>
  <si>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</si>
  <si>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</si>
  <si>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</si>
  <si>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</si>
  <si>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</si>
  <si>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</si>
  <si>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</si>
  <si>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</si>
  <si>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</si>
  <si>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</si>
  <si>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</si>
  <si>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</si>
  <si>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</si>
  <si>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</si>
  <si>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</si>
  <si>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</si>
  <si>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</si>
  <si>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</si>
  <si>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</si>
  <si>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</si>
  <si>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</si>
  <si>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</si>
  <si>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</si>
  <si>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</si>
  <si>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</si>
  <si>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</si>
  <si>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</si>
  <si>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</si>
  <si>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</si>
  <si>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</si>
  <si>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</si>
  <si>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</si>
  <si>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</si>
  <si>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</si>
  <si>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</si>
  <si>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</si>
  <si>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</si>
  <si>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</si>
  <si>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</si>
  <si>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</si>
  <si>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</si>
  <si>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</si>
  <si>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</si>
  <si>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</si>
  <si>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</si>
  <si>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</si>
  <si>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</si>
  <si>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</si>
  <si>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</si>
  <si>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</si>
  <si>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</si>
  <si>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</si>
  <si>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</si>
  <si>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</si>
  <si>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</si>
  <si>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</si>
  <si>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</si>
  <si>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</si>
  <si>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</si>
  <si>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</si>
  <si>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</si>
  <si>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</si>
  <si>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</si>
  <si>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</si>
  <si>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</si>
  <si>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</si>
  <si>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</si>
  <si>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</si>
  <si>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</si>
  <si>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</si>
  <si>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</si>
  <si>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</si>
  <si>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</si>
  <si>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</si>
  <si>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</si>
  <si>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</si>
  <si>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</si>
  <si>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</si>
  <si>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</si>
  <si>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</si>
  <si>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</si>
  <si>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</si>
  <si>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</si>
  <si>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</si>
  <si>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</si>
  <si>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</si>
  <si>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</si>
  <si>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</si>
  <si>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</si>
  <si>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</si>
  <si>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</si>
  <si>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</si>
  <si>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</si>
  <si>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</si>
  <si>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</si>
  <si>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</si>
  <si>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</si>
  <si>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</si>
  <si>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</si>
  <si>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</si>
  <si>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</si>
  <si>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</si>
  <si>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</si>
  <si>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</si>
  <si>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</si>
  <si>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</si>
  <si>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</si>
  <si>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</si>
  <si>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</si>
  <si>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</si>
  <si>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</si>
  <si>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</si>
  <si>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</si>
  <si>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</si>
  <si>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</si>
  <si>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</si>
  <si>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</si>
  <si>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</si>
  <si>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</si>
  <si>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</si>
  <si>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</si>
  <si>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</si>
  <si>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</si>
  <si>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</si>
  <si>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</si>
  <si>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</si>
  <si>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</si>
  <si>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</si>
  <si>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</si>
  <si>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</si>
  <si>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</si>
  <si>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</si>
  <si>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</si>
  <si>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</si>
  <si>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</si>
  <si>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</si>
  <si>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</si>
  <si>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</si>
  <si>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</si>
  <si>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</si>
  <si>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</si>
  <si>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</si>
  <si>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</si>
  <si>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</si>
  <si>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</si>
  <si>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</si>
  <si>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</si>
  <si>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</si>
  <si>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</si>
  <si>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</si>
  <si>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</si>
  <si>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</si>
  <si>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</si>
  <si>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</si>
  <si>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</si>
  <si>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</si>
  <si>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</si>
  <si>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</si>
  <si>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</si>
  <si>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</si>
  <si>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</si>
  <si>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</si>
  <si>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$0-Month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</si>
  <si>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</si>
  <si>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</si>
  <si>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</si>
  <si>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</si>
  <si>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</si>
  <si>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</si>
  <si>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</si>
  <si>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</si>
  <si>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</si>
  <si>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</si>
  <si>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</si>
  <si>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</si>
  <si>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</si>
  <si>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</si>
  <si>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</si>
  <si>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</si>
  <si>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</si>
  <si>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</si>
  <si>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</si>
  <si>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</si>
  <si>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</si>
  <si>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</si>
  <si>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</si>
  <si>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deviceHealthProd</t>
  </si>
  <si>
    <t>devOps Team projectName</t>
  </si>
  <si>
    <t>devOps Services Account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</si>
  <si>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</si>
  <si>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</si>
  <si>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</si>
  <si>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</si>
  <si>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</si>
  <si>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</si>
  <si>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</si>
  <si>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</si>
  <si>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</si>
  <si>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</si>
  <si>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</si>
  <si>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</si>
  <si>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</si>
  <si>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</si>
  <si>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</si>
  <si>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</si>
  <si>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</si>
  <si>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</si>
  <si>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</si>
  <si>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</si>
  <si>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</si>
  <si>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</si>
  <si>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</si>
  <si>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</si>
  <si>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</si>
  <si>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</si>
  <si>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</si>
  <si>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</si>
  <si>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</si>
  <si>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</si>
  <si>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</si>
  <si>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</si>
  <si>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</si>
  <si>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</si>
  <si>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</si>
  <si>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</si>
  <si>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</si>
  <si>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</si>
  <si>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</si>
  <si>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</si>
  <si>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</si>
  <si>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</si>
  <si>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</si>
  <si>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</si>
  <si>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</si>
  <si>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</si>
  <si>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</si>
  <si>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</si>
  <si>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</si>
  <si>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</si>
  <si>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</si>
  <si>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</si>
  <si>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</si>
  <si>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</si>
  <si>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</si>
  <si>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</si>
  <si>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</si>
  <si>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</si>
  <si>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</si>
  <si>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</si>
  <si>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</si>
  <si>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</si>
  <si>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</si>
  <si>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</si>
  <si>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</si>
  <si>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</si>
  <si>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</si>
  <si>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</si>
  <si>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</si>
  <si>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</si>
  <si>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</si>
  <si>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</si>
  <si>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</si>
  <si>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</si>
  <si>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</si>
  <si>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</si>
  <si>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</si>
  <si>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</si>
  <si>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</si>
  <si>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</si>
  <si>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</si>
  <si>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</si>
  <si>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</si>
  <si>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</si>
  <si>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</si>
  <si>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</si>
  <si>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</si>
  <si>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</si>
  <si>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</si>
  <si>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</si>
  <si>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</si>
  <si>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</si>
  <si>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</si>
  <si>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</si>
  <si>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</si>
  <si>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</si>
  <si>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</si>
  <si>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</si>
  <si>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</si>
  <si>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</si>
  <si>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</si>
  <si>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</si>
  <si>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</si>
  <si>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</si>
  <si>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</si>
  <si>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</si>
  <si>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</si>
  <si>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</si>
  <si>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</si>
  <si>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</si>
  <si>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</si>
  <si>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</si>
  <si>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</si>
  <si>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</si>
  <si>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</si>
  <si>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</si>
  <si>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</si>
  <si>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</si>
  <si>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</si>
  <si>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</si>
  <si>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</si>
  <si>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</si>
  <si>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</si>
  <si>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</si>
  <si>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</si>
  <si>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</si>
  <si>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</si>
  <si>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</si>
  <si>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</si>
  <si>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Envioronment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</si>
  <si>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</si>
  <si>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</si>
  <si>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</si>
  <si>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</si>
  <si>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</si>
  <si>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</si>
  <si>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</si>
  <si>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</si>
  <si>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</si>
  <si>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 xml:space="preserve"> </t>
  </si>
  <si>
    <t>prd</t>
  </si>
  <si>
    <t>Prod, prd, QA, Stage, Test</t>
  </si>
  <si>
    <t>prd, Bronze, Silver, Gold</t>
  </si>
  <si>
    <t xml:space="preserve">Microsoft.prdices                       </t>
  </si>
  <si>
    <t xml:space="preserve">Microsoft.prdTestLab                    </t>
  </si>
  <si>
    <t>DPi30 Azure prdOps SP</t>
  </si>
  <si>
    <t>Data Lake Analytics prdeloper</t>
  </si>
  <si>
    <t>prdTest Labs User</t>
  </si>
  <si>
    <t>eus</t>
  </si>
  <si>
    <t>eus2</t>
  </si>
  <si>
    <t>qqq</t>
  </si>
  <si>
    <t>steven.balusek@quisitive.com</t>
  </si>
  <si>
    <t>bryan.blain@quisitive.com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</si>
</sst>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7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31" fillId="0" borderId="0" xfId="15" applyNumberFormat="1" applyFont="1" applyFill="1" applyBorder="1"/>
    <xf numFmtId="49" fontId="30" fillId="0" borderId="0" xfId="16" applyNumberFormat="1" applyFont="1" applyFill="1" applyBorder="1"/>
    <xf numFmtId="166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34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0" fillId="0" borderId="0" xfId="14" applyNumberFormat="1" applyFont="1" applyFill="1" applyBorder="1"/>
    <xf numFmtId="0" fontId="35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0" fillId="0" borderId="51" xfId="0" applyNumberFormat="1" applyFon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1" fillId="0" borderId="0" xfId="15" applyNumberFormat="1" applyFont="1" applyFill="1" applyBorder="1"/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6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0" fontId="23" fillId="0" borderId="0" xfId="0" applyFont="1" applyAlignment="1">
      <alignment horizontal="left" vertical="top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5"/>
      <tableStyleElement type="headerRow" dxfId="4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483"/>
    <tableColumn id="2" xr3:uid="{198963DF-F3EB-4DA2-A09B-CD18B21F04CC}" name="Value" dataDxfId="48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81" dataDxfId="480">
  <tableColumns count="4">
    <tableColumn id="1" xr3:uid="{13DDA741-1CDC-4A84-BA10-6BA3914D8356}" name="Tag Name" dataDxfId="479"/>
    <tableColumn id="2" xr3:uid="{B8694A0E-C176-426F-B4E7-4A43E885A31D}" name="Description" dataDxfId="478"/>
    <tableColumn id="3" xr3:uid="{CCEDA1BB-6988-4E44-A66D-56FB27A89627}" name="Key" dataDxfId="477"/>
    <tableColumn id="4" xr3:uid="{6CFDDA4A-EAEC-4DF0-BC0B-E07C3B8313F2}" name="Example value" dataDxfId="47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75">
  <tableColumns count="12">
    <tableColumn id="1" xr3:uid="{62CDCCDA-A28C-4C4D-80FF-C4E8A791A052}" name="ApplicationName" dataDxfId="474"/>
    <tableColumn id="2" xr3:uid="{93073D3D-E95D-4B73-99B8-673A304575F9}" name="Approver" dataDxfId="473" dataCellStyle="Hyperlink"/>
    <tableColumn id="3" xr3:uid="{C519DB6C-C4F5-4BDB-AD9F-974D03DA671C}" name="BudgetAmount" dataDxfId="472" dataCellStyle="Currency"/>
    <tableColumn id="4" xr3:uid="{8BB9F40A-BCEE-4074-B326-2E38D0DB2338}" name="BusinessUnit" dataDxfId="471"/>
    <tableColumn id="5" xr3:uid="{2F7B32FE-6B7A-4311-9868-1CB73B45FAF8}" name="CostCenter" dataDxfId="470"/>
    <tableColumn id="6" xr3:uid="{3CF5EA6D-0DB8-482F-84D0-0B444571199D}" name="DR" dataDxfId="469"/>
    <tableColumn id="7" xr3:uid="{7153405F-70BE-48EC-B673-BC239A14A10D}" name="EndDate" dataDxfId="468"/>
    <tableColumn id="8" xr3:uid="{801301DF-334B-4099-AA5B-6CE9BAC396E0}" name="Env" dataDxfId="467"/>
    <tableColumn id="9" xr3:uid="{26325177-F8B0-40A4-8DCA-0C7DACD9A26B}" name="Owner" dataDxfId="466" dataCellStyle="Hyperlink"/>
    <tableColumn id="10" xr3:uid="{18E76519-03C4-4D50-91DF-DCE09D293F68}" name="Requester" dataDxfId="465" dataCellStyle="Hyperlink"/>
    <tableColumn id="11" xr3:uid="{477A0BBF-6757-4356-B66D-12D53AA4DA7A}" name="ServiceClass" dataDxfId="464"/>
    <tableColumn id="12" xr3:uid="{CA9237C6-8E46-45DC-9B0A-A0BE68240541}" name="StartDate" dataDxfId="46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454" headerRowCellStyle="Main Header">
  <tableColumns count="6">
    <tableColumn id="1" xr3:uid="{FC3AD749-BC4E-4216-B8E9-0F7F8BF94A2C}" name="Ressource" dataDxfId="453"/>
    <tableColumn id="2" xr3:uid="{83D7CB59-1519-40A6-8BA3-8FC0E4CBB600}" name="DefaultKey" dataDxfId="452"/>
    <tableColumn id="3" xr3:uid="{AC567D1A-03FF-4EFD-8D8E-0EC5FA69C0B9}" name="Key2" dataDxfId="451"/>
    <tableColumn id="4" xr3:uid="{433E465C-EFD3-48C8-8626-6865CD24521A}" name="Key3" dataDxfId="450"/>
    <tableColumn id="5" xr3:uid="{EB3D3E36-8CFD-41DC-B098-23377F2373E7}" name="Key4" dataDxfId="449"/>
    <tableColumn id="6" xr3:uid="{7AB839EE-155E-411F-A52E-52CA26FC44C7}" name="Parent" dataDxfId="44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7" dataDxfId="446" headerRowCellStyle="Main Header">
  <tableColumns count="3">
    <tableColumn id="1" xr3:uid="{70B7E953-07B9-4C0A-BF2F-08C056CFC973}" name="Directory" dataDxfId="445"/>
    <tableColumn id="2" xr3:uid="{21C56C14-ED82-4E5E-9212-756268FEB719}" name="Directory ID" dataDxfId="444"/>
    <tableColumn id="3" xr3:uid="{83D1BC0D-43AC-4991-9058-E3F0A06A4505}" name="Domain" dataDxfId="44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42">
      <calculatedColumnFormula>_xlfn.CONCAT(D2,E2, "@", Domain)</calculatedColumnFormula>
    </tableColumn>
    <tableColumn id="2" xr3:uid="{B18F4EDA-253B-4C43-88F5-F01E09F83E53}" name="DisplayName" dataDxfId="441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40" dataDxfId="439" headerRowCellStyle="Main Header">
  <tableColumns count="5">
    <tableColumn id="1" xr3:uid="{C9ABA579-494E-4B59-A5ED-D78C1CF5FA75}" name="GroupName" dataDxfId="438"/>
    <tableColumn id="2" xr3:uid="{80F408E0-905B-41E9-BF2F-3C1C0DF5E886}" name="GroupDescription" dataDxfId="437">
      <calculatedColumnFormula>_xlfn.CONCAT("AD Security Group for Azure Role ", A2)</calculatedColumnFormula>
    </tableColumn>
    <tableColumn id="3" xr3:uid="{D052E0A6-F759-4799-8CAD-DCB51E30EA0E}" name="GroupDisplayName" dataDxfId="436">
      <calculatedColumnFormula>A2</calculatedColumnFormula>
    </tableColumn>
    <tableColumn id="4" xr3:uid="{F84B2E3A-3DDE-4E3D-95F0-A7F6EF8819A0}" name="G_MailEnabled" dataDxfId="435"/>
    <tableColumn id="5" xr3:uid="{75C06EFF-38E1-421E-90AB-2463CBA13F7F}" name="G_SecurityEnabled" dataDxfId="43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33"/>
    <tableColumn id="3" xr3:uid="{01DC909A-E8E6-4806-A91A-21D56D469880}" name="DisplayName" dataDxfId="432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3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30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29"/>
    <tableColumn id="2" xr3:uid="{E2864A1A-CBCE-4854-9C6C-59A946A5B0AF}" name="Service Administrator" dataDxfId="428"/>
    <tableColumn id="3" xr3:uid="{B394B81E-61CF-4892-8297-D3358092849D}" name="Co-administrator" dataDxfId="427"/>
    <tableColumn id="4" xr3:uid="{CDCDB45E-632B-4EC1-9518-20A009C0FD2A}" name="Subscription ID" dataDxfId="426"/>
    <tableColumn id="5" xr3:uid="{AF0CB93A-EB01-4D62-AEAC-99693C85A60C}" name="Azure AD Group" dataDxfId="425"/>
    <tableColumn id="6" xr3:uid="{3693CFB5-F3DB-4C5C-97F3-A45F0B4A7E9A}" name="Azure Role" dataDxfId="424"/>
    <tableColumn id="7" xr3:uid="{7CF63353-F7C9-4585-BB56-A477677AD849}" name="Management Group" dataDxfId="423"/>
    <tableColumn id="8" xr3:uid="{5CB0A777-F325-455A-B22A-55417E00D718}" name="TABLE OF CONTENTS" dataDxfId="42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21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20"/>
    <tableColumn id="2" xr3:uid="{211D9E26-235B-4E42-98AE-9B53F65939ED}" name="Management Group ID" dataDxfId="419"/>
    <tableColumn id="3" xr3:uid="{1F5801E6-D013-4E4D-BAE2-602F643110C5}" name="Management Group Parent" dataDxfId="418"/>
    <tableColumn id="4" xr3:uid="{B392F54B-3ED4-49C8-824B-DD0ACC0BE9E6}" name="ApplicationName" dataDxfId="417"/>
    <tableColumn id="5" xr3:uid="{91CA4FBA-4DC5-44EB-8DC9-20D84674DACE}" name="Approver" dataDxfId="416"/>
    <tableColumn id="6" xr3:uid="{9EB4025A-6DF6-4CC7-AED0-B0A5C8E0DDA4}" name="BudgetAmount" dataDxfId="415"/>
    <tableColumn id="7" xr3:uid="{6B83D8AA-96A6-4438-B0E4-9D2AD90564FC}" name="BusinessUnit" dataDxfId="414"/>
    <tableColumn id="8" xr3:uid="{5A615C11-0209-4606-82AB-DC6E2EA6F24D}" name="CostCenter" dataDxfId="413"/>
    <tableColumn id="9" xr3:uid="{88C4B88F-DBF6-4B14-B0A8-2BB359303038}" name="DR" dataDxfId="412"/>
    <tableColumn id="10" xr3:uid="{39868F5A-900A-442A-9DA8-57911025EA5E}" name="EndDate" dataDxfId="411"/>
    <tableColumn id="11" xr3:uid="{21E63A00-2527-4316-A695-8F69C5AC07E3}" name="Env" dataDxfId="410"/>
    <tableColumn id="12" xr3:uid="{0F0E51EB-0BE6-4094-AC89-E0F598D28456}" name="Owner" dataDxfId="409"/>
    <tableColumn id="13" xr3:uid="{3DAFAB7A-02FF-4000-94CB-EF3ACF0A26CE}" name="Requester" dataDxfId="408"/>
    <tableColumn id="14" xr3:uid="{2782B11C-9D44-4A57-B89D-6EF63014FE21}" name="ServiceClass" dataDxfId="407"/>
    <tableColumn id="15" xr3:uid="{4931B5A7-8346-416B-9561-5C610881F0BA}" name="StartDate" dataDxfId="40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05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04"/>
    <tableColumn id="2" xr3:uid="{32E1F552-86B5-463A-9E73-C9BB482937F5}" name="region Name" dataDxfId="403">
      <calculatedColumnFormula>PrimaryRegionTag</calculatedColumnFormula>
    </tableColumn>
    <tableColumn id="3" xr3:uid="{F696BAA5-D243-43A1-83FE-A626EFF31CDA}" name="ApplicationName" dataDxfId="402"/>
    <tableColumn id="4" xr3:uid="{E7A12F03-FB6E-4566-A403-8B2F607721C1}" name="Approver" dataDxfId="401"/>
    <tableColumn id="5" xr3:uid="{16B9817D-734D-4B5B-A762-4953C4173471}" name="BudgetAmount" dataDxfId="400"/>
    <tableColumn id="6" xr3:uid="{1234D8FE-2D18-44A7-A961-7DBA72344A7A}" name="BusinessUnit" dataDxfId="399"/>
    <tableColumn id="7" xr3:uid="{ACCD4515-25CE-459F-AC99-8F097E729533}" name="CostCenter" dataDxfId="398"/>
    <tableColumn id="8" xr3:uid="{F4860233-3D8B-49EE-9C4D-D0B470E94C14}" name="DR" dataDxfId="397"/>
    <tableColumn id="9" xr3:uid="{C0014C79-BAD0-49F7-BA07-4696139ED7AA}" name="EndDate" dataDxfId="396"/>
    <tableColumn id="10" xr3:uid="{A24C2FAC-CBAB-446E-A910-9EE8F3075168}" name="Env" dataDxfId="395"/>
    <tableColumn id="11" xr3:uid="{6F19FB4F-030A-48C4-A9CA-4A2DA6107604}" name="Owner" dataDxfId="394"/>
    <tableColumn id="12" xr3:uid="{EE3441C4-C5CE-47ED-A618-ABA365828202}" name="Requester" dataDxfId="393"/>
    <tableColumn id="13" xr3:uid="{3BB5D2C8-EF69-4A08-9D12-3324A5A19E98}" name="ServiceClass" dataDxfId="392"/>
    <tableColumn id="14" xr3:uid="{63B6F936-3A3D-4C6B-8556-2B6A5858FB27}" name="StartDate" dataDxfId="39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/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90">
  <sortState xmlns:xlrd2="http://schemas.microsoft.com/office/spreadsheetml/2017/richdata2" ref="A2:G166">
    <sortCondition descending="1" ref="B2:B166"/>
    <sortCondition ref="A2:A166"/>
  </sortState>
  <tableColumns count="7">
    <tableColumn id="1" xr3:uid="{7CDA3B51-5352-4294-AE5D-D18D3B80EC5A}" name="RoleName" dataDxfId="389"/>
    <tableColumn id="7" xr3:uid="{AB92E150-4D79-4D29-9EB8-942FE96C9C72}" name="IsCustom" dataDxfId="388"/>
    <tableColumn id="2" xr3:uid="{928B2788-C7CF-4A86-B859-EDA14A5D6D71}" name="Description" dataDxfId="387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86" dataDxfId="385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84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8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8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81"/>
    <tableColumn id="5" xr3:uid="{2DA205CC-FFB9-440F-A1C0-176A1156E603}" name="Approver" dataDxfId="380"/>
    <tableColumn id="6" xr3:uid="{7BA4A9FC-476F-4156-B8DB-4B31A8EF7134}" name="BudgetAmount" dataDxfId="379" dataCellStyle="Currency 2 2"/>
    <tableColumn id="8" xr3:uid="{7CFDD2F2-E45F-4D42-B1E7-2946C47B6F45}" name="BusinessUnit" dataDxfId="378"/>
    <tableColumn id="9" xr3:uid="{70D6E542-4170-47B5-B00B-F61E604E3659}" name="CostCenter" dataDxfId="377"/>
    <tableColumn id="10" xr3:uid="{5FE0A6C7-E220-41F2-B0B9-F34E7C018D94}" name="DR" dataDxfId="376"/>
    <tableColumn id="11" xr3:uid="{1E368A26-FD9E-4865-B2F4-10A966A5A36F}" name="EndDate" dataDxfId="375" dataCellStyle="Normal 2 2"/>
    <tableColumn id="12" xr3:uid="{C54CEB87-85C3-4A03-BAC5-3EEF69F26CB7}" name="Env" dataDxfId="374"/>
    <tableColumn id="13" xr3:uid="{2E5C7347-5FA9-4D75-BA47-29A20B2EE822}" name="Owner" dataDxfId="373"/>
    <tableColumn id="14" xr3:uid="{85414F39-D48E-4833-B1ED-B4DA850D3C60}" name="Requester" dataDxfId="372"/>
    <tableColumn id="15" xr3:uid="{F2C22C3C-9D7E-4491-B389-AF6CD0E79779}" name="ServiceClass" dataDxfId="371"/>
    <tableColumn id="16" xr3:uid="{3D879FFE-E831-4A2A-92BA-260AE2E21FDE}" name="StartDate" dataDxfId="370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StorageAccounts22" displayName="tblStorageAccounts22" ref="A1:Q2" totalsRowShown="0" headerRowDxfId="369" dataDxfId="368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6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A11DDCBF-C53B-41AD-8DB5-41F5CBB88B68}" name="ResourceGroupName" dataDxfId="36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72AED8C-B6FF-4B16-B968-BC83BE36A763}" name="AccountType" dataDxfId="365"/>
    <tableColumn id="5" xr3:uid="{CC8AB9AA-2670-463B-87FF-0A337AB3E4E3}" name="StorageKind" dataDxfId="364"/>
    <tableColumn id="6" xr3:uid="{58E60587-2AA4-4A41-9DA6-058849D01EE4}" name="AccessTier" dataDxfId="363"/>
    <tableColumn id="3" xr3:uid="{A79C771C-4F5B-4F7D-BA36-F651563FC1CC}" name="ApplicationName" dataDxfId="362"/>
    <tableColumn id="7" xr3:uid="{9F1E4C5B-F161-4996-A38B-EB5B856E36B0}" name="Approver" dataDxfId="361"/>
    <tableColumn id="8" xr3:uid="{793B3F76-6A57-4092-9042-D2A141A1C8C1}" name="BudgetAmount" dataDxfId="360"/>
    <tableColumn id="9" xr3:uid="{DD58DA39-645C-4EEE-9A38-F40CA00462C1}" name="BusinessUnit" dataDxfId="359"/>
    <tableColumn id="11" xr3:uid="{3EB4F175-103D-4BA3-95FA-62D80672F86D}" name="CostCenter" dataDxfId="358"/>
    <tableColumn id="12" xr3:uid="{7D7A7153-A227-485E-A650-F82E34519655}" name="DR" dataDxfId="357"/>
    <tableColumn id="13" xr3:uid="{29DA63D3-2F0F-4486-8313-D93765132670}" name="EndDate" dataDxfId="356"/>
    <tableColumn id="14" xr3:uid="{9F83E188-C8A1-4FC0-AACE-446FCDBEC02E}" name="Env" dataDxfId="355"/>
    <tableColumn id="15" xr3:uid="{08BD1C97-6E8C-430C-BAB7-622E0965DDE2}" name="Owner" dataDxfId="354"/>
    <tableColumn id="16" xr3:uid="{2C9189BB-F929-4D3E-B5D1-311592D9490B}" name="Requester" dataDxfId="353"/>
    <tableColumn id="17" xr3:uid="{B875AAB7-E809-4079-BE50-F94FE580B839}" name="ServiceClass" dataDxfId="352"/>
    <tableColumn id="18" xr3:uid="{CBA21964-64B1-46CD-8C30-199630F884E7}" name="StartDate" dataDxfId="351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50" dataDxfId="349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4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46"/>
    <tableColumn id="6" xr3:uid="{F595D359-E485-4B40-AE2A-5E64AA90931F}" name="sqlServerAdminPassword" dataDxfId="345"/>
    <tableColumn id="3" xr3:uid="{99C0CA87-70C2-4F45-9896-AB11183AF41A}" name="ApplicationName" dataDxfId="344"/>
    <tableColumn id="4" xr3:uid="{6DE653D8-71AD-448E-A677-F08DC23EA82B}" name="Approver" dataDxfId="343"/>
    <tableColumn id="7" xr3:uid="{B3E8B024-694F-4BF3-8F25-9902FBE87D1F}" name="BudgetAmount" dataDxfId="342"/>
    <tableColumn id="8" xr3:uid="{ABC43D73-14B6-4602-8043-E0F57518A105}" name="BusinessUnit" dataDxfId="341"/>
    <tableColumn id="9" xr3:uid="{35091A8E-5CAE-4A0E-896E-246761D77430}" name="CostCenter" dataDxfId="340"/>
    <tableColumn id="10" xr3:uid="{36FD19EA-6224-410F-95C4-92A550EFB4DC}" name="DR" dataDxfId="339"/>
    <tableColumn id="11" xr3:uid="{FDFE1F3F-D340-4EAD-BEA8-6AC03052FFBE}" name="EndDate" dataDxfId="338"/>
    <tableColumn id="12" xr3:uid="{FB92422E-0E45-4560-9A57-B77184199953}" name="Env" dataDxfId="337"/>
    <tableColumn id="13" xr3:uid="{6C35CAB9-8AD1-46EE-8538-BA45F01D09A8}" name="Owner" dataDxfId="336"/>
    <tableColumn id="14" xr3:uid="{E8386069-F356-40BE-9015-5747932DC16D}" name="Requester" dataDxfId="335"/>
    <tableColumn id="15" xr3:uid="{A7373C3F-E388-4E76-9EC5-79F9279C3CD7}" name="ServiceClass" dataDxfId="334"/>
    <tableColumn id="16" xr3:uid="{86DED262-EF7A-4317-8063-CEBDF1F1B3B2}" name="StartDate" dataDxfId="333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332" dataDxfId="331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33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32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328"/>
    <tableColumn id="7" xr3:uid="{EE3AA25D-3233-4EE8-8774-551C5CCC4094}" name="Approver" dataDxfId="327"/>
    <tableColumn id="8" xr3:uid="{2DBD9FB9-E39E-4339-8519-511E3B94C888}" name="BudgetAmount" dataDxfId="326"/>
    <tableColumn id="9" xr3:uid="{1AE023B9-F868-4ACB-AF9D-61E350EA59BC}" name="BusinessUnit" dataDxfId="325"/>
    <tableColumn id="11" xr3:uid="{E1D1FC14-214E-42F5-A210-E947A7E78BFA}" name="CostCenter" dataDxfId="324"/>
    <tableColumn id="12" xr3:uid="{26FBFABB-7161-4870-9151-A899A8F874C2}" name="DR" dataDxfId="323"/>
    <tableColumn id="13" xr3:uid="{59181772-26F2-4BC0-919E-343B4F536F22}" name="EndDate" dataDxfId="322"/>
    <tableColumn id="14" xr3:uid="{BA20A3F0-405D-488E-A4FC-B8A7BE31AACF}" name="Env" dataDxfId="321"/>
    <tableColumn id="15" xr3:uid="{24C6DE48-72D2-4570-806C-63FD9C3B81B9}" name="Owner" dataDxfId="320"/>
    <tableColumn id="16" xr3:uid="{EA92DAA2-29CF-4626-86AD-DE7EAD4E4CAC}" name="Requester" dataDxfId="319"/>
    <tableColumn id="17" xr3:uid="{95820F98-9DCD-4388-9C03-629BC11C2FEB}" name="ServiceClass" dataDxfId="318"/>
    <tableColumn id="18" xr3:uid="{80FCE0BC-B04E-4896-ADE0-953B6526783A}" name="StartDate" dataDxfId="317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16" dataDxfId="315" headerRowCellStyle="Hyperlink" dataCellStyle="Normal 2 2">
  <tableColumns count="14">
    <tableColumn id="1" xr3:uid="{7D74FD36-91E0-4097-81C3-B3295B6D9F20}" name="KeyVaultName" dataDxfId="314" dataCellStyle="Normal 2 2"/>
    <tableColumn id="2" xr3:uid="{626EDD50-9C93-407B-A62E-24DF831D5465}" name="ResourceGroupName" dataDxfId="313" dataCellStyle="Normal 2 2"/>
    <tableColumn id="3" xr3:uid="{1A859D3A-B2D5-49F6-9EAF-C559550F806A}" name="ApplicationName" dataDxfId="312" dataCellStyle="Normal 2 2"/>
    <tableColumn id="4" xr3:uid="{F4A9EEFB-0848-46B6-B8F9-B97F682F8A70}" name="Approver" dataDxfId="311" dataCellStyle="Hyperlink 2 2"/>
    <tableColumn id="5" xr3:uid="{7B05256F-FA99-48A8-BD16-B8D74955FA98}" name="BudgetAmount" dataDxfId="310" dataCellStyle="Currency 2 2"/>
    <tableColumn id="6" xr3:uid="{AE131878-96FE-4822-9268-F15EC334B559}" name="BusinessUnit" dataDxfId="309" dataCellStyle="Normal 2 2"/>
    <tableColumn id="7" xr3:uid="{72EA179A-2179-408B-8FFD-8BB2268F3CFF}" name="CostCenter" dataDxfId="308" dataCellStyle="Normal 2 2"/>
    <tableColumn id="8" xr3:uid="{F170D104-FA9A-402D-B07C-EFF4561576E7}" name="DR" dataDxfId="307" dataCellStyle="Normal 2 2"/>
    <tableColumn id="9" xr3:uid="{B9B3FE9A-4399-45E1-9828-350DFE6ABF78}" name="EndDate" dataDxfId="306" dataCellStyle="Normal 2 2"/>
    <tableColumn id="10" xr3:uid="{76D28B90-05C0-4BFA-9EB4-2C6C8F9BAC15}" name="Env" dataDxfId="305" dataCellStyle="Normal 2 2"/>
    <tableColumn id="11" xr3:uid="{3F392D78-3914-4C33-8A79-89E47165EF8B}" name="Owner" dataDxfId="304" dataCellStyle="Hyperlink 2 2"/>
    <tableColumn id="12" xr3:uid="{5B82FDB3-D573-4780-AAF9-0A161E675B7D}" name="Requester" dataDxfId="303" dataCellStyle="Hyperlink 2 2"/>
    <tableColumn id="13" xr3:uid="{5CD2F8BD-154E-476C-978F-2817115003FF}" name="ServiceClass" dataDxfId="302" dataCellStyle="Normal 2 2"/>
    <tableColumn id="14" xr3:uid="{A68A696A-51CF-4E59-8C8C-B630E77BEFCE}" name="StartDate" dataDxfId="301" dataCellStyle="Normal 2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00" dataDxfId="29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298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29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296"/>
    <tableColumn id="5" xr3:uid="{7F9ABFCE-8C9C-4E53-AF0C-FB549863B5CE}" name="StorageKind" dataDxfId="295"/>
    <tableColumn id="6" xr3:uid="{720CDDA3-4F0C-40E8-881A-1C9A3983ABF9}" name="AccessTier" dataDxfId="294"/>
    <tableColumn id="3" xr3:uid="{B7E37DED-9F50-4727-8FA0-223F455B52C7}" name="ApplicationName" dataDxfId="293"/>
    <tableColumn id="7" xr3:uid="{99A0AA91-0A5C-4A70-978E-58EE1FCC72BB}" name="Approver" dataDxfId="292"/>
    <tableColumn id="8" xr3:uid="{6095DA26-EA6F-45E6-9DB1-FEDFCA59205C}" name="BudgetAmount" dataDxfId="291"/>
    <tableColumn id="9" xr3:uid="{62135E6B-DDF5-4364-8CB3-B347D89BAFC6}" name="BusinessUnit" dataDxfId="290"/>
    <tableColumn id="11" xr3:uid="{F0EB6BFB-19A1-499C-BF38-5EC828A3639C}" name="CostCenter" dataDxfId="289"/>
    <tableColumn id="12" xr3:uid="{BB0D0ECA-D759-45E3-A5D7-10DA43079AC6}" name="DR" dataDxfId="288"/>
    <tableColumn id="13" xr3:uid="{1D85F930-A50A-4DE0-BF3A-B666E8EFC218}" name="EndDate" dataDxfId="287"/>
    <tableColumn id="14" xr3:uid="{F1CA34EA-3543-4934-BAF1-3B4047411C50}" name="Env" dataDxfId="286"/>
    <tableColumn id="15" xr3:uid="{6216FC08-1112-4E29-B772-CE73C4766403}" name="Owner" dataDxfId="285"/>
    <tableColumn id="16" xr3:uid="{6F78E4FE-7F4C-4860-B413-4685A40B8395}" name="Requester" dataDxfId="284"/>
    <tableColumn id="17" xr3:uid="{C5C3B864-9253-4717-808F-59EE05C2B988}" name="ServiceClass" dataDxfId="283"/>
    <tableColumn id="18" xr3:uid="{E0A30987-F0E4-4B04-85E8-835F3F174FB8}" name="StartDate" dataDxfId="282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281" dataDxfId="280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7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2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277"/>
    <tableColumn id="3" xr3:uid="{FDEFD99D-0D86-4D01-A3C2-D3B5DD9D4ADE}" name="ApplicationName" dataDxfId="276"/>
    <tableColumn id="4" xr3:uid="{2D63B4AD-9676-4ED4-8965-5C1365547187}" name="Approver" dataDxfId="275"/>
    <tableColumn id="7" xr3:uid="{210F3070-E597-4308-BD46-A51EBA6D2966}" name="BudgetAmount" dataDxfId="274"/>
    <tableColumn id="8" xr3:uid="{BB063B75-42BB-4DE5-B253-FCD134557256}" name="BusinessUnit" dataDxfId="273"/>
    <tableColumn id="9" xr3:uid="{DE9F57F7-0CB6-4CDA-A11F-76F46E02086F}" name="CostCenter" dataDxfId="272"/>
    <tableColumn id="10" xr3:uid="{8A10B3DC-1A2B-4B1C-984D-F5BD4130802E}" name="DR" dataDxfId="271"/>
    <tableColumn id="11" xr3:uid="{1437CD11-B38A-4B79-858E-669BCAE9FD25}" name="EndDate" dataDxfId="270"/>
    <tableColumn id="12" xr3:uid="{4D7C7FFF-8BED-4FCE-BCD6-BFDD8D06E57D}" name="Env" dataDxfId="269"/>
    <tableColumn id="13" xr3:uid="{503B3153-C36D-4B7E-BCDF-D1097363A10C}" name="Owner" dataDxfId="268"/>
    <tableColumn id="14" xr3:uid="{68753E90-0EA9-427C-B64D-E1125D1BF82A}" name="Requester" dataDxfId="267"/>
    <tableColumn id="15" xr3:uid="{6267B1BA-9FE3-4C0D-9ED0-6DCFF2D88D3E}" name="ServiceClass" dataDxfId="266"/>
    <tableColumn id="16" xr3:uid="{60EEB968-815A-4C5E-ADF7-6DF5E62A631C}" name="StartDate" dataDxfId="265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264" dataDxfId="263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6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26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26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259"/>
    <tableColumn id="5" xr3:uid="{B07B97D2-02A8-480B-899A-33EFCC0CB73E}" name="Approver" dataDxfId="258"/>
    <tableColumn id="6" xr3:uid="{9318713D-04DB-4120-A003-4F93961346F8}" name="BudgetAmount" dataDxfId="257" dataCellStyle="Currency 2 2"/>
    <tableColumn id="8" xr3:uid="{B2528700-FD02-450D-A5EE-2074B4FF01A4}" name="BusinessUnit" dataDxfId="256"/>
    <tableColumn id="9" xr3:uid="{0A713914-577C-432B-87CB-104F1ECAA7AF}" name="CostCenter" dataDxfId="255"/>
    <tableColumn id="10" xr3:uid="{02767C2F-D1CB-4829-9945-49B4B6557BB5}" name="DR" dataDxfId="254"/>
    <tableColumn id="11" xr3:uid="{FB35C75B-A50E-4894-934F-BB83D7DD17C2}" name="EndDate" dataDxfId="253" dataCellStyle="Normal 2 2"/>
    <tableColumn id="12" xr3:uid="{F7F9C7AA-43C6-44F0-B18C-63F10AA7208A}" name="Env" dataDxfId="252"/>
    <tableColumn id="13" xr3:uid="{3ED02F47-8BD9-4D3E-B5A3-E2261F4F835F}" name="Owner" dataDxfId="251"/>
    <tableColumn id="14" xr3:uid="{8706A51B-1C0A-405D-8EDC-219E7373CA13}" name="Requester" dataDxfId="250"/>
    <tableColumn id="15" xr3:uid="{42681F75-78B6-40A7-B2B3-2D4B01C4B88B}" name="ServiceClass" dataDxfId="249"/>
    <tableColumn id="16" xr3:uid="{98249317-59E0-490C-BF76-9F40F064B65E}" name="StartDate" dataDxfId="248" dataCellStyle="Normal 2 2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47" dataDxfId="246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4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4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43"/>
    <tableColumn id="4" xr3:uid="{249AC0F6-80B1-41FB-BF74-1BAC3BBAFE99}" name="Approver" dataDxfId="242"/>
    <tableColumn id="7" xr3:uid="{DD3CD6E9-497B-49FA-9C44-CB06B169A7EB}" name="BudgetAmount" dataDxfId="241"/>
    <tableColumn id="8" xr3:uid="{0D56C04F-8C5D-4AD2-9D47-5D72FC448402}" name="BusinessUnit" dataDxfId="240"/>
    <tableColumn id="9" xr3:uid="{EF0E63C9-6BED-48A3-B20C-9CAC7524648B}" name="CostCenter" dataDxfId="239"/>
    <tableColumn id="10" xr3:uid="{29CF345B-E0D4-490C-AC6C-7D809B2F7A22}" name="DR" dataDxfId="238"/>
    <tableColumn id="11" xr3:uid="{72B20860-1EBB-4C13-BA58-168A6F00DE17}" name="EndDate" dataDxfId="237"/>
    <tableColumn id="12" xr3:uid="{0BB924C9-DAA9-482B-96BD-0D1AE7421880}" name="Env" dataDxfId="236"/>
    <tableColumn id="13" xr3:uid="{2BFD44BF-0484-4F11-977B-AC7BBC4C0D2C}" name="Owner" dataDxfId="235"/>
    <tableColumn id="14" xr3:uid="{A0458324-2EE6-487A-9580-3EC22DFE20DA}" name="Requester" dataDxfId="234"/>
    <tableColumn id="15" xr3:uid="{FB5BCA1F-17F5-4857-B431-7AB4E5A3BB48}" name="ServiceClass" dataDxfId="233"/>
    <tableColumn id="16" xr3:uid="{61545C3D-B80A-455D-B2AC-C9ECDC8B351C}" name="StartDate" dataDxfId="23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31" dataDxfId="230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29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2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27" dataCellStyle="Hyperlink"/>
    <tableColumn id="3" xr3:uid="{320FA428-0A24-41B1-96FE-C2D6FBC287C7}" name="ApplicationName" dataDxfId="226"/>
    <tableColumn id="4" xr3:uid="{75133D4F-DDB6-4A77-8B3C-B43FF7EE1007}" name="Approver" dataDxfId="225"/>
    <tableColumn id="7" xr3:uid="{6D5CAB01-0A5A-4876-81B8-920DDABB1338}" name="BudgetAmount" dataDxfId="224"/>
    <tableColumn id="8" xr3:uid="{BFE2945D-DD77-4126-AF5D-556ACA0D0402}" name="BusinessUnit" dataDxfId="223"/>
    <tableColumn id="9" xr3:uid="{C8E31A72-C97A-448A-8166-CA31EE3816FD}" name="CostCenter" dataDxfId="222"/>
    <tableColumn id="10" xr3:uid="{47ECF8C9-AD31-4DBE-9ED7-DB425F831E45}" name="DR" dataDxfId="221"/>
    <tableColumn id="11" xr3:uid="{621843D6-A00E-44F6-ADF9-1D3290B910FC}" name="EndDate" dataDxfId="220"/>
    <tableColumn id="12" xr3:uid="{25AFA2DF-1C0B-4295-808D-EFD964B573E9}" name="Env" dataDxfId="219"/>
    <tableColumn id="13" xr3:uid="{1802964F-A99F-44BC-8D5C-34C8EAB7F49C}" name="Owner" dataDxfId="218"/>
    <tableColumn id="14" xr3:uid="{3679AA3B-A2DE-4741-BF6A-23B9C3008532}" name="Requester" dataDxfId="217"/>
    <tableColumn id="15" xr3:uid="{9C05E3F3-87C1-4862-B3C8-A0EB2EF48331}" name="ServiceClass" dataDxfId="216"/>
    <tableColumn id="16" xr3:uid="{1E02C04D-6414-423D-B526-B627D7C2A5F2}" name="StartDate" dataDxfId="215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14" dataDxfId="213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12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1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10">
      <calculatedColumnFormula>LOWER(_xlfn.CONCAT("rg-",Company_Tag,"-network-",envTag,"-",PrimaryRegionTag))</calculatedColumnFormula>
    </tableColumn>
    <tableColumn id="31" xr3:uid="{67E4DB32-5DE4-4DBB-AD34-6E7EEA98B925}" name="virtualNetworkName" dataDxfId="209">
      <calculatedColumnFormula>LOWER(_xlfn.CONCAT("vnet-",Company_Tag,"-",envTag,"-",PrimaryRegionTag))</calculatedColumnFormula>
    </tableColumn>
    <tableColumn id="30" xr3:uid="{AEA17E8B-30D3-4717-A802-4BA90EABF62E}" name="subnetName" dataDxfId="208">
      <calculatedColumnFormula>LOWER(_xlfn.CONCAT("snet-",Company_Tag,"-",envTag,"-",PrimaryRegionTag,,"-sqlmi"))</calculatedColumnFormula>
    </tableColumn>
    <tableColumn id="5" xr3:uid="{A4F0AD71-023F-4562-9A73-BB547CF82FAB}" name="administratorLogin" dataDxfId="207"/>
    <tableColumn id="6" xr3:uid="{BF0AF824-7C40-4769-B42A-4B714BDE6027}" name="administratorLoginPassword" dataDxfId="206"/>
    <tableColumn id="3" xr3:uid="{2187DB96-C8F1-451E-91C7-82CCC2AD30DC}" name="ApplicationName" dataDxfId="205"/>
    <tableColumn id="4" xr3:uid="{1E61BAD7-FB22-413E-AB92-C31046060746}" name="Approver" dataDxfId="204"/>
    <tableColumn id="7" xr3:uid="{D754C168-3323-4A54-824F-689B0EF8AAAC}" name="BudgetAmount" dataDxfId="203"/>
    <tableColumn id="8" xr3:uid="{45A82F25-6B65-402C-9F06-7DB3A3DA0E59}" name="BusinessUnit" dataDxfId="202"/>
    <tableColumn id="9" xr3:uid="{BFA057E2-4648-4086-9B7B-D561C39EF962}" name="CostCenter" dataDxfId="201"/>
    <tableColumn id="10" xr3:uid="{68428CF3-8D44-4B27-80C5-0B1C9519A070}" name="DR" dataDxfId="200"/>
    <tableColumn id="11" xr3:uid="{6879C2A4-756A-4CD2-901D-8ACBB664585C}" name="EndDate" dataDxfId="199"/>
    <tableColumn id="12" xr3:uid="{A566434E-E351-4C52-97DD-FFDC716964CE}" name="Env" dataDxfId="198"/>
    <tableColumn id="13" xr3:uid="{A5F0E0A0-06D6-43CB-9110-7B0651BE5E03}" name="Owner" dataDxfId="197"/>
    <tableColumn id="14" xr3:uid="{6F208972-537D-4BFC-AFED-4983FF757DE7}" name="Requester" dataDxfId="196"/>
    <tableColumn id="15" xr3:uid="{ABE98BE6-713C-4A4A-8380-1C0763F32CB5}" name="ServiceClass" dataDxfId="195"/>
    <tableColumn id="16" xr3:uid="{EA9B6BFB-FF9B-4D37-B766-3F7E3B448636}" name="StartDate" dataDxfId="194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193" dataDxfId="19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191"/>
    <tableColumn id="2" xr3:uid="{AFE437F2-D77B-4CE5-AA9D-284B9975F42E}" name="ResourceGroupName" dataDxfId="19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18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188"/>
    <tableColumn id="4" xr3:uid="{88BC0F53-F856-48BA-B01A-3801748968A6}" name="ApplicationName" dataDxfId="187"/>
    <tableColumn id="5" xr3:uid="{CE8D5DAB-0D28-41B2-A575-E9273A859221}" name="Approver" dataDxfId="186"/>
    <tableColumn id="6" xr3:uid="{EA647438-92D1-4976-9B7C-4657A815EECA}" name="BudgetAmount" dataDxfId="185" dataCellStyle="Currency 2 2"/>
    <tableColumn id="8" xr3:uid="{048ACCAA-6688-4D19-9D80-612B24BECABB}" name="BusinessUnit" dataDxfId="184"/>
    <tableColumn id="9" xr3:uid="{72C1D578-B37B-40FA-B340-171633BE9890}" name="CostCenter" dataDxfId="183"/>
    <tableColumn id="10" xr3:uid="{201BFB2C-EF15-4356-BE5D-B5D7B688B948}" name="DR" dataDxfId="182"/>
    <tableColumn id="11" xr3:uid="{DAAEA8E7-48DD-48BD-9626-91054181DD5A}" name="EndDate" dataDxfId="181" dataCellStyle="Normal 2 2"/>
    <tableColumn id="12" xr3:uid="{D889319B-BB35-41FE-94E4-16A98DED2A2C}" name="Env" dataDxfId="180"/>
    <tableColumn id="13" xr3:uid="{9484ECDE-E056-4118-A300-AB8A46E4CC97}" name="Owner" dataDxfId="179"/>
    <tableColumn id="14" xr3:uid="{BC53E329-83A7-47AD-997E-2ACE257C95DA}" name="Requester" dataDxfId="178"/>
    <tableColumn id="15" xr3:uid="{7C591084-1350-46FC-8E3D-73F6A67F1299}" name="ServiceClass" dataDxfId="177"/>
    <tableColumn id="16" xr3:uid="{AB9E071B-12E4-4B79-A531-599710CF581F}" name="StartDate" dataDxfId="176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75" dataDxfId="174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73"/>
    <tableColumn id="4" xr3:uid="{9C99FC51-F60A-4457-818C-6AF7CEE4EFE4}" name="ResourceGroupName" dataDxfId="17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71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70"/>
    <tableColumn id="5" xr3:uid="{266182AA-3F70-495D-A7E5-28006F4657B5}" name="ApplicationName" dataDxfId="169"/>
    <tableColumn id="6" xr3:uid="{29760C3A-797D-4D73-B815-0236D7A94502}" name="Approver" dataDxfId="168"/>
    <tableColumn id="7" xr3:uid="{5FFBECBA-0EAA-407E-B5DF-00AC9807CBCC}" name="BudgetAmount" dataDxfId="167" dataCellStyle="Currency 2 2"/>
    <tableColumn id="8" xr3:uid="{3DFF0D18-788F-48FB-8383-77E06705545A}" name="BusinessUnit" dataDxfId="166"/>
    <tableColumn id="9" xr3:uid="{9BD4620F-14A9-45D0-8655-D3997B8A6BA2}" name="CostCenter" dataDxfId="165"/>
    <tableColumn id="10" xr3:uid="{BFC86A1E-C1A9-40B6-B55F-72386C5E2B96}" name="DR" dataDxfId="164"/>
    <tableColumn id="11" xr3:uid="{2D1CC82C-E720-4329-98FB-9BD1D9457E02}" name="EndDate" dataDxfId="163" dataCellStyle="Normal 2 2"/>
    <tableColumn id="12" xr3:uid="{D3A9587E-EF7D-4D79-B700-A28BEF76040D}" name="Env" dataDxfId="162"/>
    <tableColumn id="13" xr3:uid="{7DDA5531-8F35-490C-8608-A160706A1B59}" name="Owner" dataDxfId="161"/>
    <tableColumn id="14" xr3:uid="{4432C38D-B8A3-46B9-8F51-33EA5B518FDB}" name="Requester" dataDxfId="160"/>
    <tableColumn id="15" xr3:uid="{A62A6B57-9395-46FF-B8DF-6D88B6D14154}" name="ServiceClass" dataDxfId="159"/>
    <tableColumn id="16" xr3:uid="{100864D9-4D85-428F-9A95-DC0149B3AFDA}" name="StartDate" dataDxfId="158" dataCellStyle="Normal 2 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Q2" totalsRowShown="0" headerRowDxfId="157" dataDxfId="156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5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54"/>
    <tableColumn id="21" xr3:uid="{ABE785AA-5C70-421B-B543-AB2C46918897}" name="SkuTier" dataDxfId="153"/>
    <tableColumn id="20" xr3:uid="{5AE773C1-594F-4DE3-B9D2-026302428E8C}" name="SkuCapacity" dataDxfId="152"/>
    <tableColumn id="2" xr3:uid="{D04FB7F7-4993-42D1-A715-1C36D7D343E3}" name="ResourceGroup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/>
    <tableColumn id="9" xr3:uid="{3125E8C2-C6CE-4B80-B495-00BC3EFA76AE}" name="BusinessUnit" dataDxfId="147"/>
    <tableColumn id="11" xr3:uid="{17D7019B-3FFB-4F12-A01F-683DF9D14E48}" name="CostCenter" dataDxfId="146"/>
    <tableColumn id="12" xr3:uid="{FBA0EE2D-2419-4490-A994-4C1431B55EE0}" name="DR" dataDxfId="145"/>
    <tableColumn id="13" xr3:uid="{ECD47247-52F5-47AD-9B74-A2689AFAFD38}" name="EndDate" dataDxfId="144"/>
    <tableColumn id="14" xr3:uid="{385EDBFE-B012-4EEC-B2E6-A28A5E1F2B51}" name="Env" dataDxfId="143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/>
    <tableColumn id="18" xr3:uid="{5D302417-1671-4C91-A519-3FBD3137AFC6}" name="StartDate" dataDxfId="139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3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/>
    <tableColumn id="9" xr3:uid="{846B7479-21CD-4A4F-939F-E4144858889C}" name="BusinessUnit" dataDxfId="128"/>
    <tableColumn id="11" xr3:uid="{287B420A-A5A8-49EA-AC97-B43D8FF60A73}" name="CostCenter" dataDxfId="127"/>
    <tableColumn id="12" xr3:uid="{3CD7AE62-256F-4482-9A4E-4410B8FF61E4}" name="DR" dataDxfId="126"/>
    <tableColumn id="13" xr3:uid="{92A9B786-411A-4468-B4D4-AD38088AF5EE}" name="EndDate" dataDxfId="125"/>
    <tableColumn id="14" xr3:uid="{9A4B2E7B-DC16-43DE-8BF3-B09DB39A50AB}" name="Env" dataDxfId="124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/>
    <tableColumn id="18" xr3:uid="{E873DE2A-AD3D-4C6F-A0A8-934F672C2480}" name="StartDate" dataDxfId="120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/>
    <tableColumn id="9" xr3:uid="{532EC513-3206-4F36-B69E-226BCE94E7D5}" name="BusinessUnit" dataDxfId="111"/>
    <tableColumn id="11" xr3:uid="{CC1BC76A-03FB-474B-BA13-9BFC1A46C9CE}" name="CostCenter" dataDxfId="110"/>
    <tableColumn id="12" xr3:uid="{835CC9DE-7EE9-4D32-8DE5-8F887DA31486}" name="DR" dataDxfId="109"/>
    <tableColumn id="13" xr3:uid="{A7F5F467-4C29-46C3-9954-31D194169CBD}" name="EndDate" dataDxfId="108"/>
    <tableColumn id="14" xr3:uid="{800287BF-849A-4967-B653-D9E7B144CF2B}" name="Env" dataDxfId="107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/>
    <tableColumn id="18" xr3:uid="{390D8481-1707-4F96-BA13-24F7B07EAA38}" name="StartDate" dataDxfId="103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/>
    <tableColumn id="9" xr3:uid="{9CC98E43-A745-4CF1-91FE-6146E3B2C54E}" name="BusinessUnit" dataDxfId="92"/>
    <tableColumn id="11" xr3:uid="{1431373B-8AF2-4541-9D47-786CC85C6B2D}" name="CostCenter" dataDxfId="91"/>
    <tableColumn id="12" xr3:uid="{D7C79025-CE77-4EDE-AA4A-0997893A81EE}" name="DR" dataDxfId="90"/>
    <tableColumn id="13" xr3:uid="{D7BE3659-BB8B-4D5E-9A00-2B2DBDAA57B5}" name="EndDate" dataDxfId="89"/>
    <tableColumn id="14" xr3:uid="{48A1B8EF-6F8B-4016-BAE3-831BA632F135}" name="Env" dataDxfId="88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/>
    <tableColumn id="18" xr3:uid="{983A04B8-CCA7-4C25-B9CB-D5C96D074907}" name="StartDate" dataDxfId="8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7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D0A0A056-40A6-474C-812B-F136FCB0B39E}" name="ResourceGroupName" dataDxfId="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/>
    <tableColumn id="9" xr3:uid="{04CF91AC-0C86-4AED-A1A2-5DADC327AE5C}" name="BusinessUnit" dataDxfId="74"/>
    <tableColumn id="11" xr3:uid="{A9F5F7B1-13F7-4F3F-9566-E98F27859822}" name="CostCenter" dataDxfId="73"/>
    <tableColumn id="12" xr3:uid="{457AB41E-528A-41B0-9543-579CF74E1E30}" name="DR" dataDxfId="72"/>
    <tableColumn id="13" xr3:uid="{93B88411-B575-471D-A4D6-933F86BE9356}" name="EndDate" dataDxfId="71"/>
    <tableColumn id="14" xr3:uid="{B0319DB1-0922-43AF-8198-5677A4FBEE9B}" name="Env" dataDxfId="70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/>
    <tableColumn id="18" xr3:uid="{59D7F81A-E7A1-48A4-8963-49613CC94C63}" name="StartDate" dataDxfId="66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6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/>
    <tableColumn id="9" xr3:uid="{C35532D6-05CE-4E65-BD48-AB91EAA7CEC2}" name="BusinessUnit" dataDxfId="55"/>
    <tableColumn id="11" xr3:uid="{3F262104-76FA-4254-8E18-9F2A853A528B}" name="CostCenter" dataDxfId="54"/>
    <tableColumn id="12" xr3:uid="{0EB94881-3B48-4DB6-911F-BC05916E5DFF}" name="DR" dataDxfId="53"/>
    <tableColumn id="13" xr3:uid="{B66F85F7-0327-4B7C-84A7-534605FFE4C9}" name="EndDate" dataDxfId="52"/>
    <tableColumn id="14" xr3:uid="{80B1E96E-AF2D-4B38-8E3A-6D440E668C27}" name="Env" dataDxfId="51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/>
    <tableColumn id="18" xr3:uid="{F94B78A7-95EE-47CD-8014-99A44837B039}" name="StartDate" dataDxfId="47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microsoft.com/en-us/azure/cloud-adoption-framework/ready/azure-best-practices/naming-and-tagging" TargetMode="External"/><Relationship Id="rId2" Type="http://schemas.openxmlformats.org/officeDocument/2006/relationships/hyperlink" Target="mailto:request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3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4.xm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5.x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9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0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9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2.xml"/><Relationship Id="rId4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3.xml"/><Relationship Id="rId5" Type="http://schemas.openxmlformats.org/officeDocument/2006/relationships/printerSettings" Target="../printerSettings/printerSettings25.bin"/><Relationship Id="rId4" Type="http://schemas.openxmlformats.org/officeDocument/2006/relationships/hyperlink" Target="mailto:patrick@gallucci.us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6.xml"/><Relationship Id="rId4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5546875" defaultRowHeight="14.25"/>
  <cols>
    <col min="1" max="1" width="17.5703125" style="198" customWidth="1"/>
    <col min="2" max="2" width="12.7109375" style="198" customWidth="1"/>
    <col min="3" max="4" width="12.7109375" style="201" customWidth="1"/>
    <col min="5" max="7" width="12.7109375" style="200" customWidth="1"/>
    <col min="8" max="8" width="12.7109375" style="202" customWidth="1"/>
    <col min="9" max="9" width="12.7109375" style="203" customWidth="1"/>
    <col min="10" max="10" width="12.7109375" style="202" customWidth="1"/>
    <col min="11" max="16384" width="8.85546875" style="180"/>
  </cols>
  <sheetData>
    <row r="1" spans="1:10" ht="27">
      <c r="A1" s="196"/>
      <c r="B1" s="277" t="s">
        <v>903</v>
      </c>
      <c r="C1" s="277"/>
      <c r="D1" s="277"/>
      <c r="E1" s="277"/>
      <c r="F1" s="277"/>
      <c r="G1" s="277"/>
      <c r="H1" s="277"/>
      <c r="I1" s="277"/>
      <c r="J1" s="277"/>
    </row>
    <row r="2" spans="1:10" ht="42" customHeight="1">
      <c r="A2" s="196"/>
      <c r="B2" s="278"/>
      <c r="C2" s="278"/>
      <c r="D2" s="278"/>
      <c r="E2" s="278"/>
      <c r="F2" s="278"/>
      <c r="G2" s="278"/>
      <c r="H2" s="278"/>
      <c r="I2" s="278"/>
      <c r="J2" s="278"/>
    </row>
    <row r="3" spans="1:10" ht="141" customHeight="1">
      <c r="A3" s="279" t="s">
        <v>904</v>
      </c>
      <c r="B3" s="280"/>
      <c r="C3" s="280"/>
      <c r="D3" s="280"/>
      <c r="E3" s="280"/>
      <c r="F3" s="280"/>
      <c r="G3" s="280"/>
      <c r="H3" s="280"/>
      <c r="I3" s="280"/>
      <c r="J3" s="280"/>
    </row>
    <row r="4" spans="1:10" ht="16.5" customHeight="1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>
      <c r="A5" s="281" t="s">
        <v>901</v>
      </c>
      <c r="B5" s="281"/>
      <c r="C5" s="281"/>
      <c r="D5" s="281"/>
      <c r="E5" s="281"/>
      <c r="F5" s="281"/>
      <c r="G5" s="281"/>
      <c r="H5" s="281"/>
      <c r="I5" s="281"/>
      <c r="J5" s="281"/>
    </row>
    <row r="6" spans="1:10" ht="24.95" customHeight="1" thickBot="1">
      <c r="A6" s="269" t="s">
        <v>860</v>
      </c>
      <c r="B6" s="282" t="s">
        <v>902</v>
      </c>
      <c r="C6" s="283"/>
      <c r="D6" s="283"/>
      <c r="E6" s="283"/>
      <c r="F6" s="283"/>
      <c r="G6" s="283"/>
      <c r="H6" s="283"/>
      <c r="I6" s="283"/>
      <c r="J6" s="284"/>
    </row>
    <row r="7" spans="1:10" ht="24.95" customHeight="1">
      <c r="A7" s="270">
        <v>43723</v>
      </c>
      <c r="B7" s="274" t="s">
        <v>905</v>
      </c>
      <c r="C7" s="275"/>
      <c r="D7" s="275"/>
      <c r="E7" s="275"/>
      <c r="F7" s="275"/>
      <c r="G7" s="275"/>
      <c r="H7" s="275"/>
      <c r="I7" s="275"/>
      <c r="J7" s="276"/>
    </row>
    <row r="8" spans="1:10" ht="24.95" customHeight="1" thickBot="1">
      <c r="A8" s="271">
        <v>43726</v>
      </c>
      <c r="B8" s="285" t="s">
        <v>906</v>
      </c>
      <c r="C8" s="286"/>
      <c r="D8" s="286"/>
      <c r="E8" s="286"/>
      <c r="F8" s="286"/>
      <c r="G8" s="286"/>
      <c r="H8" s="286"/>
      <c r="I8" s="286"/>
      <c r="J8" s="287"/>
    </row>
    <row r="9" spans="1:10">
      <c r="A9" s="270">
        <v>43876</v>
      </c>
      <c r="B9" s="274" t="s">
        <v>2021</v>
      </c>
      <c r="C9" s="275"/>
      <c r="D9" s="275"/>
      <c r="E9" s="275"/>
      <c r="F9" s="275"/>
      <c r="G9" s="275"/>
      <c r="H9" s="275"/>
      <c r="I9" s="275"/>
      <c r="J9" s="276"/>
    </row>
    <row r="10" spans="1:10">
      <c r="A10" s="199"/>
      <c r="B10" s="273"/>
      <c r="C10" s="273"/>
      <c r="D10" s="273"/>
      <c r="E10" s="273"/>
      <c r="F10" s="273"/>
      <c r="G10" s="273"/>
      <c r="H10" s="273"/>
      <c r="I10" s="273"/>
      <c r="J10" s="273"/>
    </row>
    <row r="11" spans="1:10">
      <c r="A11" s="199"/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10">
      <c r="A12" s="199"/>
      <c r="B12" s="273"/>
      <c r="C12" s="273"/>
      <c r="D12" s="273"/>
      <c r="E12" s="273"/>
      <c r="F12" s="273"/>
      <c r="G12" s="273"/>
      <c r="H12" s="273"/>
      <c r="I12" s="273"/>
      <c r="J12" s="273"/>
    </row>
    <row r="13" spans="1:10">
      <c r="A13" s="199"/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10">
      <c r="A14" s="199"/>
      <c r="B14" s="273"/>
      <c r="C14" s="273"/>
      <c r="D14" s="273"/>
      <c r="E14" s="273"/>
      <c r="F14" s="273"/>
      <c r="G14" s="273"/>
      <c r="H14" s="273"/>
      <c r="I14" s="273"/>
      <c r="J14" s="273"/>
    </row>
    <row r="15" spans="1:10">
      <c r="A15" s="199"/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10">
      <c r="A16" s="199"/>
      <c r="B16" s="273"/>
      <c r="C16" s="273"/>
      <c r="D16" s="273"/>
      <c r="E16" s="273"/>
      <c r="F16" s="273"/>
      <c r="G16" s="273"/>
      <c r="H16" s="273"/>
      <c r="I16" s="273"/>
      <c r="J16" s="273"/>
    </row>
    <row r="17" spans="1:10">
      <c r="A17" s="199"/>
      <c r="B17" s="273"/>
      <c r="C17" s="273"/>
      <c r="D17" s="273"/>
      <c r="E17" s="273"/>
      <c r="F17" s="273"/>
      <c r="G17" s="273"/>
      <c r="H17" s="273"/>
      <c r="I17" s="273"/>
      <c r="J17" s="273"/>
    </row>
    <row r="18" spans="1:10">
      <c r="A18" s="199"/>
      <c r="B18" s="273"/>
      <c r="C18" s="273"/>
      <c r="D18" s="273"/>
      <c r="E18" s="273"/>
      <c r="F18" s="273"/>
      <c r="G18" s="273"/>
      <c r="H18" s="273"/>
      <c r="I18" s="273"/>
      <c r="J18" s="273"/>
    </row>
    <row r="19" spans="1:10">
      <c r="A19" s="199"/>
      <c r="B19" s="200"/>
    </row>
    <row r="20" spans="1:10">
      <c r="A20" s="199"/>
      <c r="B20" s="200"/>
    </row>
    <row r="21" spans="1:10">
      <c r="A21" s="199"/>
    </row>
    <row r="22" spans="1:10">
      <c r="A22" s="199"/>
    </row>
    <row r="23" spans="1:10">
      <c r="A23" s="199"/>
    </row>
    <row r="24" spans="1:10">
      <c r="A24" s="199"/>
    </row>
    <row r="25" spans="1:10">
      <c r="A25" s="199"/>
    </row>
    <row r="26" spans="1:10">
      <c r="A26" s="199"/>
    </row>
  </sheetData>
  <mergeCells count="16">
    <mergeCell ref="B9:J9"/>
    <mergeCell ref="B1:J2"/>
    <mergeCell ref="A3:J3"/>
    <mergeCell ref="A5:J5"/>
    <mergeCell ref="B16:J16"/>
    <mergeCell ref="B6:J6"/>
    <mergeCell ref="B7:J7"/>
    <mergeCell ref="B8:J8"/>
    <mergeCell ref="B17:J17"/>
    <mergeCell ref="B18:J18"/>
    <mergeCell ref="B10:J10"/>
    <mergeCell ref="B11:J11"/>
    <mergeCell ref="B12:J12"/>
    <mergeCell ref="B13:J13"/>
    <mergeCell ref="B14:J14"/>
    <mergeCell ref="B15:J15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2.75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D13" sqref="D13"/>
    </sheetView>
  </sheetViews>
  <sheetFormatPr defaultRowHeight="12.75"/>
  <cols>
    <col min="1" max="1" width="30.42578125" customWidth="1"/>
    <col min="2" max="2" width="40.5703125" customWidth="1"/>
  </cols>
  <sheetData>
    <row r="7" spans="1:2">
      <c r="A7" s="86" t="s">
        <v>7</v>
      </c>
      <c r="B7" s="147" t="s">
        <v>1289</v>
      </c>
    </row>
    <row r="8" spans="1:2">
      <c r="A8" s="262" t="s">
        <v>817</v>
      </c>
      <c r="B8" s="147" t="s">
        <v>1936</v>
      </c>
    </row>
    <row r="9" spans="1:2">
      <c r="A9" s="262" t="s">
        <v>832</v>
      </c>
      <c r="B9" s="147" t="s">
        <v>2044</v>
      </c>
    </row>
    <row r="10" spans="1:2">
      <c r="A10" s="262" t="s">
        <v>818</v>
      </c>
      <c r="B10" s="147" t="s">
        <v>820</v>
      </c>
    </row>
    <row r="11" spans="1:2">
      <c r="A11" s="262" t="s">
        <v>813</v>
      </c>
      <c r="B11" s="147" t="s">
        <v>822</v>
      </c>
    </row>
    <row r="12" spans="1:2" ht="15">
      <c r="A12" s="262" t="s">
        <v>819</v>
      </c>
      <c r="B12" s="214" t="s">
        <v>821</v>
      </c>
    </row>
    <row r="13" spans="1:2">
      <c r="A13" s="262" t="s">
        <v>874</v>
      </c>
      <c r="B13" s="147" t="s">
        <v>1290</v>
      </c>
    </row>
    <row r="14" spans="1:2">
      <c r="A14" s="262" t="s">
        <v>916</v>
      </c>
      <c r="B14" s="147" t="s">
        <v>917</v>
      </c>
    </row>
    <row r="15" spans="1:2">
      <c r="A15" s="262" t="s">
        <v>1916</v>
      </c>
      <c r="B15" s="147" t="s">
        <v>2042</v>
      </c>
    </row>
    <row r="16" spans="1:2">
      <c r="A16" s="262" t="s">
        <v>1917</v>
      </c>
      <c r="B16" s="147" t="s">
        <v>2043</v>
      </c>
    </row>
    <row r="17" spans="1:2">
      <c r="A17" s="262" t="s">
        <v>2023</v>
      </c>
      <c r="B17" s="147" t="s">
        <v>2034</v>
      </c>
    </row>
    <row r="20" spans="1:2" ht="15">
      <c r="A20" s="184" t="s">
        <v>1356</v>
      </c>
      <c r="B20" s="3" t="s">
        <v>1357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2.75"/>
  <cols>
    <col min="2" max="2" width="35" customWidth="1"/>
    <col min="3" max="26" width="5.140625" style="1" customWidth="1"/>
    <col min="27" max="27" width="22.7109375" customWidth="1"/>
    <col min="28" max="28" width="2.140625" customWidth="1"/>
    <col min="30" max="30" width="15.5703125" customWidth="1"/>
  </cols>
  <sheetData>
    <row r="3" spans="2:30" ht="15">
      <c r="Q3" s="87" t="s">
        <v>594</v>
      </c>
      <c r="Z3" s="87" t="s">
        <v>595</v>
      </c>
    </row>
    <row r="4" spans="2:30" ht="13.5" thickBot="1">
      <c r="Q4" s="88"/>
      <c r="Z4" s="89"/>
    </row>
    <row r="5" spans="2:30" ht="15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5.75" thickBot="1">
      <c r="B6" s="97" t="s">
        <v>597</v>
      </c>
      <c r="C6" s="290" t="s">
        <v>598</v>
      </c>
      <c r="D6" s="291"/>
      <c r="E6" s="292"/>
      <c r="F6" s="293" t="s">
        <v>142</v>
      </c>
      <c r="G6" s="294"/>
      <c r="H6" s="295" t="s">
        <v>599</v>
      </c>
      <c r="I6" s="296"/>
      <c r="J6" s="297"/>
      <c r="K6" s="98" t="s">
        <v>600</v>
      </c>
      <c r="L6" s="298" t="s">
        <v>601</v>
      </c>
      <c r="M6" s="299"/>
      <c r="N6" s="299"/>
      <c r="O6" s="299"/>
      <c r="P6" s="299"/>
      <c r="Q6" s="300"/>
      <c r="R6" s="301" t="s">
        <v>602</v>
      </c>
      <c r="S6" s="302"/>
      <c r="T6" s="303"/>
      <c r="U6" s="288" t="s">
        <v>603</v>
      </c>
      <c r="V6" s="289"/>
      <c r="W6" s="304" t="s">
        <v>604</v>
      </c>
      <c r="X6" s="305"/>
      <c r="Y6" s="306" t="s">
        <v>605</v>
      </c>
      <c r="Z6" s="289"/>
      <c r="AA6" s="99"/>
      <c r="AC6" s="83" t="s">
        <v>606</v>
      </c>
    </row>
    <row r="7" spans="2:30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7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5">
      <c r="B9" s="144" t="s">
        <v>1276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1277</v>
      </c>
    </row>
    <row r="11" spans="2:30">
      <c r="B11" s="145" t="s">
        <v>1508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895</v>
      </c>
    </row>
    <row r="12" spans="2:30">
      <c r="B12" s="145" t="s">
        <v>1508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5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5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5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307" t="s">
        <v>142</v>
      </c>
      <c r="AE19" s="308"/>
    </row>
    <row r="20" spans="2:31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>
      <c r="B28" s="145" t="s">
        <v>851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7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5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309" t="s">
        <v>599</v>
      </c>
      <c r="AE31" s="310"/>
    </row>
    <row r="32" spans="2:31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5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5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11" t="s">
        <v>600</v>
      </c>
      <c r="AE36" s="312"/>
    </row>
    <row r="37" spans="2:31" ht="13.5" thickBot="1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>
      <c r="AD38" t="s">
        <v>662</v>
      </c>
      <c r="AE38" t="s">
        <v>663</v>
      </c>
    </row>
    <row r="39" spans="2:31" ht="15">
      <c r="B39" s="83" t="s">
        <v>664</v>
      </c>
      <c r="C39"/>
      <c r="D39"/>
      <c r="AD39" t="s">
        <v>665</v>
      </c>
      <c r="AE39" t="s">
        <v>666</v>
      </c>
    </row>
    <row r="40" spans="2:31" ht="15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5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5">
      <c r="B43" s="3" t="s">
        <v>208</v>
      </c>
    </row>
  </sheetData>
  <mergeCells count="11">
    <mergeCell ref="W6:X6"/>
    <mergeCell ref="Y6:Z6"/>
    <mergeCell ref="AD19:AE19"/>
    <mergeCell ref="AD31:AE31"/>
    <mergeCell ref="AD36:AE36"/>
    <mergeCell ref="U6:V6"/>
    <mergeCell ref="C6:E6"/>
    <mergeCell ref="F6:G6"/>
    <mergeCell ref="H6:J6"/>
    <mergeCell ref="L6:Q6"/>
    <mergeCell ref="R6:T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1"/>
  <sheetViews>
    <sheetView workbookViewId="0">
      <selection activeCell="J17" sqref="J17"/>
    </sheetView>
  </sheetViews>
  <sheetFormatPr defaultRowHeight="12.75"/>
  <cols>
    <col min="1" max="1" width="28.28515625" customWidth="1"/>
    <col min="2" max="2" width="41.140625" customWidth="1"/>
    <col min="3" max="3" width="21.28515625" customWidth="1"/>
    <col min="4" max="4" width="31.42578125" customWidth="1"/>
    <col min="5" max="5" width="13.28515625" bestFit="1" customWidth="1"/>
    <col min="6" max="6" width="17.28515625" bestFit="1" customWidth="1"/>
    <col min="7" max="7" width="16" customWidth="1"/>
    <col min="8" max="8" width="6.28515625" bestFit="1" customWidth="1"/>
    <col min="9" max="9" width="20.7109375" customWidth="1"/>
    <col min="10" max="10" width="25.5703125" bestFit="1" customWidth="1"/>
    <col min="11" max="11" width="15.42578125" bestFit="1" customWidth="1"/>
    <col min="12" max="12" width="12.28515625" bestFit="1" customWidth="1"/>
  </cols>
  <sheetData>
    <row r="1" spans="1:4" ht="15">
      <c r="A1" s="12" t="s">
        <v>1435</v>
      </c>
      <c r="B1" s="3" t="s">
        <v>1436</v>
      </c>
    </row>
    <row r="5" spans="1:4">
      <c r="A5" s="84" t="s">
        <v>593</v>
      </c>
      <c r="B5" s="84" t="s">
        <v>6</v>
      </c>
      <c r="C5" s="84" t="s">
        <v>811</v>
      </c>
      <c r="D5" s="84" t="s">
        <v>1437</v>
      </c>
    </row>
    <row r="6" spans="1:4" ht="38.25">
      <c r="A6" s="84" t="s">
        <v>1438</v>
      </c>
      <c r="B6" s="84" t="s">
        <v>1439</v>
      </c>
      <c r="C6" s="84" t="s">
        <v>940</v>
      </c>
      <c r="D6" s="84" t="s">
        <v>1440</v>
      </c>
    </row>
    <row r="7" spans="1:4" ht="25.5">
      <c r="A7" s="84" t="s">
        <v>1441</v>
      </c>
      <c r="B7" s="84" t="s">
        <v>1442</v>
      </c>
      <c r="C7" s="84" t="s">
        <v>1443</v>
      </c>
      <c r="D7" s="84" t="s">
        <v>1444</v>
      </c>
    </row>
    <row r="8" spans="1:4" ht="25.5">
      <c r="A8" s="84" t="s">
        <v>1445</v>
      </c>
      <c r="B8" s="84" t="s">
        <v>1446</v>
      </c>
      <c r="C8" s="84" t="s">
        <v>1447</v>
      </c>
      <c r="D8" s="84" t="s">
        <v>1448</v>
      </c>
    </row>
    <row r="9" spans="1:4" ht="76.5">
      <c r="A9" s="84" t="s">
        <v>1449</v>
      </c>
      <c r="B9" s="84" t="s">
        <v>1450</v>
      </c>
      <c r="C9" s="84" t="s">
        <v>1451</v>
      </c>
      <c r="D9" s="84" t="s">
        <v>1452</v>
      </c>
    </row>
    <row r="10" spans="1:4" ht="25.5">
      <c r="A10" s="84" t="s">
        <v>1453</v>
      </c>
      <c r="B10" s="84" t="s">
        <v>1454</v>
      </c>
      <c r="C10" s="84" t="s">
        <v>1455</v>
      </c>
      <c r="D10" s="84" t="s">
        <v>1456</v>
      </c>
    </row>
    <row r="11" spans="1:4" ht="25.5">
      <c r="A11" s="84" t="s">
        <v>1457</v>
      </c>
      <c r="B11" s="84" t="s">
        <v>1458</v>
      </c>
      <c r="C11" s="84" t="s">
        <v>1459</v>
      </c>
      <c r="D11" s="84" t="s">
        <v>1460</v>
      </c>
    </row>
    <row r="12" spans="1:4" ht="25.5">
      <c r="A12" s="84" t="s">
        <v>1461</v>
      </c>
      <c r="B12" s="84" t="s">
        <v>1462</v>
      </c>
      <c r="C12" s="84" t="s">
        <v>1463</v>
      </c>
      <c r="D12" s="84" t="s">
        <v>1464</v>
      </c>
    </row>
    <row r="13" spans="1:4" ht="25.5">
      <c r="A13" s="84" t="s">
        <v>1465</v>
      </c>
      <c r="B13" s="84" t="s">
        <v>1466</v>
      </c>
      <c r="C13" s="84" t="s">
        <v>1467</v>
      </c>
      <c r="D13" s="84" t="s">
        <v>2035</v>
      </c>
    </row>
    <row r="14" spans="1:4" ht="25.5">
      <c r="A14" s="84" t="s">
        <v>1468</v>
      </c>
      <c r="B14" s="84" t="s">
        <v>1469</v>
      </c>
      <c r="C14" s="84" t="s">
        <v>8</v>
      </c>
      <c r="D14" s="84" t="s">
        <v>1444</v>
      </c>
    </row>
    <row r="15" spans="1:4" ht="25.5">
      <c r="A15" s="84" t="s">
        <v>1470</v>
      </c>
      <c r="B15" s="84" t="s">
        <v>1471</v>
      </c>
      <c r="C15" s="84" t="s">
        <v>1866</v>
      </c>
      <c r="D15" s="84" t="s">
        <v>1444</v>
      </c>
    </row>
    <row r="16" spans="1:4" ht="25.5">
      <c r="A16" s="84" t="s">
        <v>1472</v>
      </c>
      <c r="B16" s="84" t="s">
        <v>1473</v>
      </c>
      <c r="C16" s="84" t="s">
        <v>1474</v>
      </c>
      <c r="D16" s="84" t="s">
        <v>2036</v>
      </c>
    </row>
    <row r="17" spans="1:12" ht="25.5">
      <c r="A17" s="84" t="s">
        <v>1475</v>
      </c>
      <c r="B17" s="84" t="s">
        <v>1476</v>
      </c>
      <c r="C17" s="84" t="s">
        <v>1477</v>
      </c>
      <c r="D17" s="84" t="s">
        <v>1464</v>
      </c>
    </row>
    <row r="20" spans="1:12">
      <c r="A20" t="s">
        <v>940</v>
      </c>
      <c r="B20" t="s">
        <v>1443</v>
      </c>
      <c r="C20" t="s">
        <v>1447</v>
      </c>
      <c r="D20" t="s">
        <v>1451</v>
      </c>
      <c r="E20" t="s">
        <v>1455</v>
      </c>
      <c r="F20" t="s">
        <v>1459</v>
      </c>
      <c r="G20" t="s">
        <v>1463</v>
      </c>
      <c r="H20" t="s">
        <v>1467</v>
      </c>
      <c r="I20" t="s">
        <v>8</v>
      </c>
      <c r="J20" t="s">
        <v>1866</v>
      </c>
      <c r="K20" t="s">
        <v>1474</v>
      </c>
      <c r="L20" t="s">
        <v>1477</v>
      </c>
    </row>
    <row r="21" spans="1:12" ht="15">
      <c r="A21" s="147" t="s">
        <v>820</v>
      </c>
      <c r="B21" s="214" t="s">
        <v>2045</v>
      </c>
      <c r="C21" s="215">
        <v>0</v>
      </c>
      <c r="D21" s="147" t="s">
        <v>824</v>
      </c>
      <c r="E21" s="147" t="s">
        <v>1478</v>
      </c>
      <c r="F21" s="147" t="s">
        <v>1479</v>
      </c>
      <c r="G21" s="216">
        <v>2958465</v>
      </c>
      <c r="H21" s="147" t="s">
        <v>1506</v>
      </c>
      <c r="I21" s="214" t="s">
        <v>2045</v>
      </c>
      <c r="J21" s="214" t="s">
        <v>821</v>
      </c>
      <c r="K21" s="147" t="s">
        <v>1480</v>
      </c>
      <c r="L21" s="216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display="approver@company.org" xr:uid="{DE481139-5396-498C-A490-8332AC9501EC}"/>
    <hyperlink ref="J21" r:id="rId2" display="requester@company.org" xr:uid="{1C61AD19-964F-470C-8E5E-80C18F9E8A24}"/>
    <hyperlink ref="B1" r:id="rId3" location="metadata-tags" xr:uid="{1F4031EE-1EFD-4FC9-9E6F-088D935A5B69}"/>
  </hyperlinks>
  <pageMargins left="0.7" right="0.7" top="0.75" bottom="0.75" header="0.3" footer="0.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topLeftCell="Z1" zoomScaleNormal="100" workbookViewId="0">
      <pane ySplit="1" topLeftCell="A2" activePane="bottomLeft" state="frozen"/>
      <selection pane="bottomLeft" activeCell="Z2" sqref="Z2:Z6"/>
    </sheetView>
  </sheetViews>
  <sheetFormatPr defaultRowHeight="12.75"/>
  <cols>
    <col min="1" max="1" width="5" bestFit="1" customWidth="1"/>
    <col min="2" max="2" width="30.7109375" bestFit="1" customWidth="1"/>
    <col min="3" max="3" width="39" bestFit="1" customWidth="1"/>
    <col min="4" max="4" width="5" bestFit="1" customWidth="1"/>
    <col min="5" max="5" width="13.140625" bestFit="1" customWidth="1"/>
    <col min="6" max="7" width="17.28515625" bestFit="1" customWidth="1"/>
    <col min="8" max="8" width="6" bestFit="1" customWidth="1"/>
    <col min="9" max="9" width="17.28515625" bestFit="1" customWidth="1"/>
    <col min="10" max="10" width="42.140625" bestFit="1" customWidth="1"/>
    <col min="11" max="11" width="6.5703125" bestFit="1" customWidth="1"/>
    <col min="12" max="12" width="15.1406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40625" bestFit="1" customWidth="1"/>
    <col min="20" max="20" width="9" bestFit="1" customWidth="1"/>
    <col min="21" max="21" width="36.85546875" bestFit="1" customWidth="1"/>
    <col min="22" max="22" width="10" bestFit="1" customWidth="1"/>
    <col min="23" max="23" width="17.28515625" bestFit="1" customWidth="1"/>
    <col min="24" max="24" width="36.28515625" customWidth="1"/>
    <col min="30" max="30" width="22.28515625" customWidth="1"/>
    <col min="31" max="31" width="26.7109375" customWidth="1"/>
  </cols>
  <sheetData>
    <row r="1" spans="1:31" s="218" customFormat="1" ht="129" customHeight="1">
      <c r="A1" s="217" t="s">
        <v>1483</v>
      </c>
      <c r="B1" s="217" t="s">
        <v>1484</v>
      </c>
      <c r="C1" s="217" t="s">
        <v>1494</v>
      </c>
      <c r="D1" s="217" t="s">
        <v>1495</v>
      </c>
      <c r="E1" s="217" t="s">
        <v>815</v>
      </c>
      <c r="F1" s="217" t="s">
        <v>816</v>
      </c>
      <c r="G1" s="217" t="s">
        <v>12</v>
      </c>
      <c r="H1" s="217" t="s">
        <v>1280</v>
      </c>
      <c r="I1" s="217" t="s">
        <v>877</v>
      </c>
      <c r="J1" s="217" t="s">
        <v>491</v>
      </c>
      <c r="K1" s="217" t="s">
        <v>1281</v>
      </c>
      <c r="L1" s="217" t="s">
        <v>863</v>
      </c>
      <c r="M1" s="217" t="s">
        <v>1282</v>
      </c>
      <c r="N1" s="217" t="s">
        <v>868</v>
      </c>
      <c r="O1" s="217" t="s">
        <v>869</v>
      </c>
      <c r="P1" s="217" t="s">
        <v>1272</v>
      </c>
      <c r="Q1" s="217" t="s">
        <v>878</v>
      </c>
      <c r="R1" s="217" t="s">
        <v>879</v>
      </c>
      <c r="S1" s="217" t="s">
        <v>889</v>
      </c>
      <c r="T1" s="217" t="s">
        <v>1294</v>
      </c>
      <c r="U1" s="217" t="s">
        <v>1296</v>
      </c>
      <c r="V1" s="217" t="s">
        <v>1327</v>
      </c>
      <c r="W1" s="217" t="s">
        <v>1496</v>
      </c>
      <c r="X1" s="217" t="s">
        <v>1499</v>
      </c>
      <c r="Y1" s="217" t="s">
        <v>1474</v>
      </c>
      <c r="Z1" s="217" t="s">
        <v>1465</v>
      </c>
      <c r="AA1" s="217" t="s">
        <v>1885</v>
      </c>
      <c r="AB1" s="217" t="s">
        <v>1899</v>
      </c>
      <c r="AC1" s="217" t="s">
        <v>1900</v>
      </c>
      <c r="AD1" s="217" t="s">
        <v>1</v>
      </c>
      <c r="AE1" s="217" t="s">
        <v>2020</v>
      </c>
    </row>
    <row r="2" spans="1:31">
      <c r="A2" t="s">
        <v>834</v>
      </c>
      <c r="B2" s="208" t="s">
        <v>947</v>
      </c>
      <c r="C2" t="s">
        <v>1485</v>
      </c>
      <c r="D2" t="s">
        <v>824</v>
      </c>
      <c r="E2" t="s">
        <v>828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861</v>
      </c>
      <c r="N2" t="s">
        <v>795</v>
      </c>
      <c r="O2" s="147" t="s">
        <v>870</v>
      </c>
      <c r="P2" s="209" t="s">
        <v>1273</v>
      </c>
      <c r="Q2">
        <v>50</v>
      </c>
      <c r="R2">
        <v>5</v>
      </c>
      <c r="S2" s="185" t="s">
        <v>204</v>
      </c>
      <c r="T2" t="s">
        <v>29</v>
      </c>
      <c r="U2" t="s">
        <v>1295</v>
      </c>
      <c r="V2" t="s">
        <v>1328</v>
      </c>
      <c r="W2" t="s">
        <v>1479</v>
      </c>
      <c r="X2" t="s">
        <v>1500</v>
      </c>
      <c r="Y2" t="s">
        <v>2034</v>
      </c>
      <c r="Z2" t="s">
        <v>2034</v>
      </c>
      <c r="AA2" t="s">
        <v>29</v>
      </c>
      <c r="AB2">
        <v>4</v>
      </c>
      <c r="AD2" t="s">
        <v>1996</v>
      </c>
      <c r="AE2" t="s">
        <v>1997</v>
      </c>
    </row>
    <row r="3" spans="1:31">
      <c r="A3" t="s">
        <v>835</v>
      </c>
      <c r="B3" s="208" t="s">
        <v>948</v>
      </c>
      <c r="C3" t="s">
        <v>1486</v>
      </c>
      <c r="D3" t="s">
        <v>825</v>
      </c>
      <c r="E3" t="s">
        <v>829</v>
      </c>
      <c r="F3" t="s">
        <v>787</v>
      </c>
      <c r="G3" t="s">
        <v>833</v>
      </c>
      <c r="H3" t="s">
        <v>144</v>
      </c>
      <c r="I3" t="s">
        <v>30</v>
      </c>
      <c r="J3" t="s">
        <v>493</v>
      </c>
      <c r="K3" t="s">
        <v>780</v>
      </c>
      <c r="L3" t="s">
        <v>864</v>
      </c>
      <c r="M3" t="s">
        <v>867</v>
      </c>
      <c r="N3" t="s">
        <v>862</v>
      </c>
      <c r="O3" s="147" t="s">
        <v>871</v>
      </c>
      <c r="P3" s="209" t="s">
        <v>1274</v>
      </c>
      <c r="Q3">
        <v>100</v>
      </c>
      <c r="R3">
        <v>10</v>
      </c>
      <c r="S3" s="185" t="s">
        <v>205</v>
      </c>
      <c r="T3" t="s">
        <v>30</v>
      </c>
      <c r="U3" t="s">
        <v>1297</v>
      </c>
      <c r="V3" t="s">
        <v>34</v>
      </c>
      <c r="W3" t="s">
        <v>1497</v>
      </c>
      <c r="X3" t="s">
        <v>1501</v>
      </c>
      <c r="Y3" t="s">
        <v>1503</v>
      </c>
      <c r="Z3" t="s">
        <v>2034</v>
      </c>
      <c r="AA3" t="s">
        <v>30</v>
      </c>
      <c r="AB3">
        <v>8</v>
      </c>
      <c r="AD3" t="s">
        <v>1998</v>
      </c>
      <c r="AE3" t="s">
        <v>1999</v>
      </c>
    </row>
    <row r="4" spans="1:31">
      <c r="A4" t="s">
        <v>836</v>
      </c>
      <c r="B4" s="208" t="s">
        <v>949</v>
      </c>
      <c r="C4" t="s">
        <v>1487</v>
      </c>
      <c r="D4" t="s">
        <v>2034</v>
      </c>
      <c r="E4" t="s">
        <v>830</v>
      </c>
      <c r="G4" t="s">
        <v>1333</v>
      </c>
      <c r="H4" t="s">
        <v>33</v>
      </c>
      <c r="I4" t="s">
        <v>31</v>
      </c>
      <c r="J4" t="s">
        <v>494</v>
      </c>
      <c r="K4" t="s">
        <v>144</v>
      </c>
      <c r="L4" t="s">
        <v>865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1295</v>
      </c>
      <c r="V4" t="s">
        <v>1329</v>
      </c>
      <c r="W4" t="s">
        <v>1498</v>
      </c>
      <c r="X4" t="s">
        <v>820</v>
      </c>
      <c r="Y4" t="s">
        <v>1504</v>
      </c>
      <c r="Z4" t="s">
        <v>1913</v>
      </c>
      <c r="AA4" t="s">
        <v>31</v>
      </c>
      <c r="AB4">
        <v>16</v>
      </c>
      <c r="AD4" t="s">
        <v>1966</v>
      </c>
      <c r="AE4" t="s">
        <v>1967</v>
      </c>
    </row>
    <row r="5" spans="1:31">
      <c r="A5" t="s">
        <v>25</v>
      </c>
      <c r="B5" s="208" t="s">
        <v>950</v>
      </c>
      <c r="C5" t="s">
        <v>1488</v>
      </c>
      <c r="D5" t="s">
        <v>826</v>
      </c>
      <c r="E5" t="s">
        <v>831</v>
      </c>
      <c r="G5" t="s">
        <v>13</v>
      </c>
      <c r="H5" t="s">
        <v>147</v>
      </c>
      <c r="I5" t="s">
        <v>875</v>
      </c>
      <c r="J5" t="s">
        <v>495</v>
      </c>
      <c r="K5" t="s">
        <v>33</v>
      </c>
      <c r="L5" t="s">
        <v>866</v>
      </c>
      <c r="Q5">
        <v>200</v>
      </c>
      <c r="R5">
        <v>29</v>
      </c>
      <c r="S5" s="185" t="s">
        <v>207</v>
      </c>
      <c r="U5" t="s">
        <v>1298</v>
      </c>
      <c r="X5" t="s">
        <v>824</v>
      </c>
      <c r="Y5" t="s">
        <v>1480</v>
      </c>
      <c r="Z5" t="s">
        <v>743</v>
      </c>
      <c r="AB5">
        <v>24</v>
      </c>
      <c r="AD5" t="s">
        <v>1968</v>
      </c>
      <c r="AE5" t="s">
        <v>1969</v>
      </c>
    </row>
    <row r="6" spans="1:31">
      <c r="A6" t="s">
        <v>26</v>
      </c>
      <c r="B6" s="208" t="s">
        <v>951</v>
      </c>
      <c r="C6" t="s">
        <v>1489</v>
      </c>
      <c r="D6" t="s">
        <v>823</v>
      </c>
      <c r="H6" t="s">
        <v>149</v>
      </c>
      <c r="I6" t="s">
        <v>876</v>
      </c>
      <c r="J6" t="s">
        <v>496</v>
      </c>
      <c r="K6" t="s">
        <v>147</v>
      </c>
      <c r="Q6">
        <v>250</v>
      </c>
      <c r="R6">
        <v>39</v>
      </c>
      <c r="U6" t="s">
        <v>1299</v>
      </c>
      <c r="X6" t="s">
        <v>1502</v>
      </c>
      <c r="Y6" t="s">
        <v>1505</v>
      </c>
      <c r="Z6" t="s">
        <v>1914</v>
      </c>
      <c r="AB6">
        <v>32</v>
      </c>
      <c r="AD6" t="s">
        <v>1964</v>
      </c>
      <c r="AE6" t="s">
        <v>1965</v>
      </c>
    </row>
    <row r="7" spans="1:31">
      <c r="A7" t="s">
        <v>837</v>
      </c>
      <c r="B7" s="208" t="s">
        <v>952</v>
      </c>
      <c r="C7" t="s">
        <v>1490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1300</v>
      </c>
      <c r="AB7">
        <v>40</v>
      </c>
      <c r="AD7" t="s">
        <v>1976</v>
      </c>
      <c r="AE7" t="s">
        <v>1977</v>
      </c>
    </row>
    <row r="8" spans="1:31">
      <c r="A8" t="s">
        <v>21</v>
      </c>
      <c r="B8" s="208" t="s">
        <v>953</v>
      </c>
      <c r="C8" t="s">
        <v>1491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1301</v>
      </c>
      <c r="AB8">
        <v>64</v>
      </c>
      <c r="AD8" t="s">
        <v>1978</v>
      </c>
      <c r="AE8" t="s">
        <v>1979</v>
      </c>
    </row>
    <row r="9" spans="1:31">
      <c r="A9" t="s">
        <v>19</v>
      </c>
      <c r="B9" s="208" t="s">
        <v>954</v>
      </c>
      <c r="C9" t="s">
        <v>1492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1302</v>
      </c>
      <c r="AB9">
        <v>80</v>
      </c>
      <c r="AD9" t="s">
        <v>1972</v>
      </c>
      <c r="AE9" t="s">
        <v>1973</v>
      </c>
    </row>
    <row r="10" spans="1:31">
      <c r="A10" t="s">
        <v>20</v>
      </c>
      <c r="B10" s="208" t="s">
        <v>955</v>
      </c>
      <c r="C10" t="s">
        <v>1493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1303</v>
      </c>
      <c r="AD10" t="s">
        <v>1946</v>
      </c>
      <c r="AE10" t="s">
        <v>1947</v>
      </c>
    </row>
    <row r="11" spans="1:31">
      <c r="A11" t="s">
        <v>850</v>
      </c>
      <c r="B11" s="208" t="s">
        <v>956</v>
      </c>
      <c r="H11" t="s">
        <v>159</v>
      </c>
      <c r="J11" t="s">
        <v>501</v>
      </c>
      <c r="Q11">
        <v>1000</v>
      </c>
      <c r="R11">
        <v>156</v>
      </c>
      <c r="U11" t="s">
        <v>1304</v>
      </c>
      <c r="AD11" t="s">
        <v>1942</v>
      </c>
      <c r="AE11" t="s">
        <v>1943</v>
      </c>
    </row>
    <row r="12" spans="1:31">
      <c r="A12" t="s">
        <v>838</v>
      </c>
      <c r="B12" s="208" t="s">
        <v>957</v>
      </c>
      <c r="H12" t="s">
        <v>161</v>
      </c>
      <c r="J12" t="s">
        <v>502</v>
      </c>
      <c r="Q12">
        <v>1200</v>
      </c>
      <c r="R12">
        <v>200</v>
      </c>
      <c r="U12" t="s">
        <v>1305</v>
      </c>
      <c r="AD12" t="s">
        <v>1871</v>
      </c>
      <c r="AE12" t="s">
        <v>944</v>
      </c>
    </row>
    <row r="13" spans="1:31">
      <c r="A13" t="s">
        <v>839</v>
      </c>
      <c r="B13" s="208" t="s">
        <v>958</v>
      </c>
      <c r="H13" t="s">
        <v>163</v>
      </c>
      <c r="J13" t="s">
        <v>503</v>
      </c>
      <c r="Q13">
        <v>1500</v>
      </c>
      <c r="R13">
        <v>250</v>
      </c>
      <c r="U13" t="s">
        <v>1306</v>
      </c>
      <c r="AD13" t="s">
        <v>1948</v>
      </c>
      <c r="AE13" t="s">
        <v>1949</v>
      </c>
    </row>
    <row r="14" spans="1:31">
      <c r="A14" t="s">
        <v>840</v>
      </c>
      <c r="B14" s="208" t="s">
        <v>959</v>
      </c>
      <c r="H14" t="s">
        <v>165</v>
      </c>
      <c r="J14" t="s">
        <v>504</v>
      </c>
      <c r="Q14">
        <v>1600</v>
      </c>
      <c r="R14">
        <v>300</v>
      </c>
      <c r="U14" t="s">
        <v>1307</v>
      </c>
      <c r="AD14" t="s">
        <v>1992</v>
      </c>
      <c r="AE14" t="s">
        <v>1993</v>
      </c>
    </row>
    <row r="15" spans="1:31">
      <c r="A15" t="s">
        <v>841</v>
      </c>
      <c r="B15" s="208" t="s">
        <v>960</v>
      </c>
      <c r="H15" t="s">
        <v>167</v>
      </c>
      <c r="J15" t="s">
        <v>505</v>
      </c>
      <c r="Q15">
        <v>2000</v>
      </c>
      <c r="R15">
        <v>400</v>
      </c>
      <c r="U15" t="s">
        <v>1308</v>
      </c>
      <c r="AD15" t="s">
        <v>1994</v>
      </c>
      <c r="AE15" t="s">
        <v>1995</v>
      </c>
    </row>
    <row r="16" spans="1:31">
      <c r="A16" t="s">
        <v>22</v>
      </c>
      <c r="B16" s="208" t="s">
        <v>961</v>
      </c>
      <c r="H16" t="s">
        <v>169</v>
      </c>
      <c r="J16" t="s">
        <v>506</v>
      </c>
      <c r="Q16">
        <v>2500</v>
      </c>
      <c r="R16">
        <v>500</v>
      </c>
      <c r="U16" t="s">
        <v>1309</v>
      </c>
      <c r="AD16" t="s">
        <v>2012</v>
      </c>
      <c r="AE16" t="s">
        <v>2013</v>
      </c>
    </row>
    <row r="17" spans="1:31">
      <c r="A17" t="s">
        <v>842</v>
      </c>
      <c r="B17" s="208" t="s">
        <v>962</v>
      </c>
      <c r="H17" t="s">
        <v>171</v>
      </c>
      <c r="J17" t="s">
        <v>507</v>
      </c>
      <c r="Q17">
        <v>3000</v>
      </c>
      <c r="R17">
        <v>750</v>
      </c>
      <c r="U17" t="s">
        <v>1310</v>
      </c>
      <c r="AD17" t="s">
        <v>2014</v>
      </c>
      <c r="AE17" t="s">
        <v>2015</v>
      </c>
    </row>
    <row r="18" spans="1:31">
      <c r="A18" t="s">
        <v>23</v>
      </c>
      <c r="B18" s="208" t="s">
        <v>963</v>
      </c>
      <c r="J18" t="s">
        <v>508</v>
      </c>
      <c r="Q18">
        <v>3500</v>
      </c>
      <c r="R18">
        <v>800</v>
      </c>
      <c r="U18" t="s">
        <v>1311</v>
      </c>
      <c r="AD18" t="s">
        <v>1962</v>
      </c>
      <c r="AE18" t="s">
        <v>1963</v>
      </c>
    </row>
    <row r="19" spans="1:31">
      <c r="A19" t="s">
        <v>843</v>
      </c>
      <c r="B19" s="208" t="s">
        <v>964</v>
      </c>
      <c r="J19" t="s">
        <v>509</v>
      </c>
      <c r="Q19">
        <v>4000</v>
      </c>
      <c r="R19">
        <v>1200</v>
      </c>
      <c r="U19" t="s">
        <v>1312</v>
      </c>
      <c r="AD19" t="s">
        <v>1960</v>
      </c>
      <c r="AE19" t="s">
        <v>1961</v>
      </c>
    </row>
    <row r="20" spans="1:31">
      <c r="A20" t="s">
        <v>844</v>
      </c>
      <c r="B20" s="208" t="s">
        <v>965</v>
      </c>
      <c r="J20" t="s">
        <v>510</v>
      </c>
      <c r="R20">
        <v>1600</v>
      </c>
      <c r="U20" t="s">
        <v>1313</v>
      </c>
      <c r="AD20" t="s">
        <v>1988</v>
      </c>
      <c r="AE20" t="s">
        <v>1989</v>
      </c>
    </row>
    <row r="21" spans="1:31">
      <c r="A21" t="s">
        <v>845</v>
      </c>
      <c r="B21" s="208" t="s">
        <v>966</v>
      </c>
      <c r="J21" t="s">
        <v>511</v>
      </c>
      <c r="R21">
        <v>2000</v>
      </c>
      <c r="U21" t="s">
        <v>1314</v>
      </c>
      <c r="AD21" t="s">
        <v>1990</v>
      </c>
      <c r="AE21" t="s">
        <v>1991</v>
      </c>
    </row>
    <row r="22" spans="1:31">
      <c r="A22" t="s">
        <v>846</v>
      </c>
      <c r="B22" s="208" t="s">
        <v>967</v>
      </c>
      <c r="J22" t="s">
        <v>512</v>
      </c>
      <c r="R22">
        <v>2400</v>
      </c>
      <c r="U22" t="s">
        <v>1315</v>
      </c>
      <c r="AD22" t="s">
        <v>1952</v>
      </c>
      <c r="AE22" t="s">
        <v>1953</v>
      </c>
    </row>
    <row r="23" spans="1:31">
      <c r="A23" t="s">
        <v>847</v>
      </c>
      <c r="B23" s="208" t="s">
        <v>968</v>
      </c>
      <c r="J23" t="s">
        <v>513</v>
      </c>
      <c r="R23">
        <v>2900</v>
      </c>
      <c r="U23" t="s">
        <v>1316</v>
      </c>
      <c r="AD23" t="s">
        <v>1956</v>
      </c>
      <c r="AE23" t="s">
        <v>1957</v>
      </c>
    </row>
    <row r="24" spans="1:31">
      <c r="A24" t="s">
        <v>848</v>
      </c>
      <c r="B24" s="208" t="s">
        <v>969</v>
      </c>
      <c r="J24" t="s">
        <v>514</v>
      </c>
      <c r="R24">
        <v>51200</v>
      </c>
      <c r="U24" t="s">
        <v>1317</v>
      </c>
      <c r="AD24" t="s">
        <v>2018</v>
      </c>
      <c r="AE24" t="s">
        <v>2019</v>
      </c>
    </row>
    <row r="25" spans="1:31">
      <c r="A25" t="s">
        <v>24</v>
      </c>
      <c r="B25" s="208" t="s">
        <v>970</v>
      </c>
      <c r="J25" t="s">
        <v>515</v>
      </c>
      <c r="U25" t="s">
        <v>1318</v>
      </c>
      <c r="AD25" t="s">
        <v>2016</v>
      </c>
      <c r="AE25" t="s">
        <v>2017</v>
      </c>
    </row>
    <row r="26" spans="1:31">
      <c r="A26" t="s">
        <v>849</v>
      </c>
      <c r="B26" s="208" t="s">
        <v>971</v>
      </c>
      <c r="J26" t="s">
        <v>516</v>
      </c>
      <c r="U26" t="s">
        <v>1319</v>
      </c>
      <c r="AD26" t="s">
        <v>2004</v>
      </c>
      <c r="AE26" t="s">
        <v>2005</v>
      </c>
    </row>
    <row r="27" spans="1:31">
      <c r="B27" s="208" t="s">
        <v>972</v>
      </c>
      <c r="J27" t="s">
        <v>517</v>
      </c>
      <c r="U27" t="s">
        <v>1320</v>
      </c>
      <c r="AD27" t="s">
        <v>2006</v>
      </c>
      <c r="AE27" t="s">
        <v>2007</v>
      </c>
    </row>
    <row r="28" spans="1:31">
      <c r="B28" s="208" t="s">
        <v>973</v>
      </c>
      <c r="J28" t="s">
        <v>518</v>
      </c>
      <c r="U28" t="s">
        <v>1321</v>
      </c>
      <c r="AD28" t="s">
        <v>1954</v>
      </c>
      <c r="AE28" t="s">
        <v>1955</v>
      </c>
    </row>
    <row r="29" spans="1:31">
      <c r="B29" s="208" t="s">
        <v>974</v>
      </c>
      <c r="J29" t="s">
        <v>519</v>
      </c>
      <c r="U29" t="s">
        <v>1322</v>
      </c>
      <c r="AD29" t="s">
        <v>1944</v>
      </c>
      <c r="AE29" t="s">
        <v>1945</v>
      </c>
    </row>
    <row r="30" spans="1:31">
      <c r="B30" s="208" t="s">
        <v>975</v>
      </c>
      <c r="J30" t="s">
        <v>520</v>
      </c>
      <c r="U30" t="s">
        <v>1323</v>
      </c>
      <c r="AD30" t="s">
        <v>1970</v>
      </c>
      <c r="AE30" t="s">
        <v>1971</v>
      </c>
    </row>
    <row r="31" spans="1:31">
      <c r="B31" s="208" t="s">
        <v>976</v>
      </c>
      <c r="J31" t="s">
        <v>521</v>
      </c>
      <c r="U31" t="s">
        <v>1324</v>
      </c>
      <c r="AD31" t="s">
        <v>2008</v>
      </c>
      <c r="AE31" t="s">
        <v>2009</v>
      </c>
    </row>
    <row r="32" spans="1:31">
      <c r="B32" s="208" t="s">
        <v>977</v>
      </c>
      <c r="J32" t="s">
        <v>522</v>
      </c>
      <c r="U32" t="s">
        <v>1325</v>
      </c>
      <c r="AD32" t="s">
        <v>2010</v>
      </c>
      <c r="AE32" t="s">
        <v>2011</v>
      </c>
    </row>
    <row r="33" spans="2:31">
      <c r="B33" s="208" t="s">
        <v>978</v>
      </c>
      <c r="J33" t="s">
        <v>523</v>
      </c>
      <c r="U33" t="s">
        <v>1326</v>
      </c>
      <c r="AD33" t="s">
        <v>2000</v>
      </c>
      <c r="AE33" t="s">
        <v>2001</v>
      </c>
    </row>
    <row r="34" spans="2:31">
      <c r="B34" s="208" t="s">
        <v>979</v>
      </c>
      <c r="J34" t="s">
        <v>524</v>
      </c>
      <c r="AD34" t="s">
        <v>2002</v>
      </c>
      <c r="AE34" t="s">
        <v>2003</v>
      </c>
    </row>
    <row r="35" spans="2:31">
      <c r="B35" s="208" t="s">
        <v>980</v>
      </c>
      <c r="J35" t="s">
        <v>525</v>
      </c>
      <c r="AD35" t="s">
        <v>1980</v>
      </c>
      <c r="AE35" t="s">
        <v>1981</v>
      </c>
    </row>
    <row r="36" spans="2:31">
      <c r="B36" s="208" t="s">
        <v>981</v>
      </c>
      <c r="J36" t="s">
        <v>526</v>
      </c>
      <c r="AD36" t="s">
        <v>1982</v>
      </c>
      <c r="AE36" t="s">
        <v>1983</v>
      </c>
    </row>
    <row r="37" spans="2:31">
      <c r="B37" s="208" t="s">
        <v>982</v>
      </c>
      <c r="J37" t="s">
        <v>527</v>
      </c>
      <c r="AD37" t="s">
        <v>1984</v>
      </c>
      <c r="AE37" t="s">
        <v>1985</v>
      </c>
    </row>
    <row r="38" spans="2:31">
      <c r="B38" s="208" t="s">
        <v>983</v>
      </c>
      <c r="J38" t="s">
        <v>528</v>
      </c>
      <c r="AD38" t="s">
        <v>1958</v>
      </c>
      <c r="AE38" t="s">
        <v>1959</v>
      </c>
    </row>
    <row r="39" spans="2:31">
      <c r="B39" s="208" t="s">
        <v>984</v>
      </c>
      <c r="J39" t="s">
        <v>529</v>
      </c>
      <c r="AD39" t="s">
        <v>1974</v>
      </c>
      <c r="AE39" t="s">
        <v>1975</v>
      </c>
    </row>
    <row r="40" spans="2:31">
      <c r="B40" s="208" t="s">
        <v>985</v>
      </c>
      <c r="J40" t="s">
        <v>530</v>
      </c>
      <c r="AD40" t="s">
        <v>1950</v>
      </c>
      <c r="AE40" t="s">
        <v>1951</v>
      </c>
    </row>
    <row r="41" spans="2:31">
      <c r="B41" s="208" t="s">
        <v>986</v>
      </c>
      <c r="J41" t="s">
        <v>531</v>
      </c>
      <c r="AD41" t="s">
        <v>1986</v>
      </c>
      <c r="AE41" t="s">
        <v>1987</v>
      </c>
    </row>
    <row r="42" spans="2:31">
      <c r="B42" s="208" t="s">
        <v>987</v>
      </c>
      <c r="J42" t="s">
        <v>2037</v>
      </c>
    </row>
    <row r="43" spans="2:31">
      <c r="B43" s="208" t="s">
        <v>988</v>
      </c>
      <c r="J43" t="s">
        <v>2038</v>
      </c>
    </row>
    <row r="44" spans="2:31">
      <c r="B44" s="208" t="s">
        <v>989</v>
      </c>
      <c r="J44" t="s">
        <v>532</v>
      </c>
    </row>
    <row r="45" spans="2:31">
      <c r="B45" s="208" t="s">
        <v>990</v>
      </c>
      <c r="J45" t="s">
        <v>533</v>
      </c>
    </row>
    <row r="46" spans="2:31">
      <c r="B46" s="208" t="s">
        <v>991</v>
      </c>
      <c r="J46" t="s">
        <v>534</v>
      </c>
    </row>
    <row r="47" spans="2:31">
      <c r="B47" s="208" t="s">
        <v>992</v>
      </c>
      <c r="J47" t="s">
        <v>535</v>
      </c>
    </row>
    <row r="48" spans="2:31">
      <c r="B48" s="208" t="s">
        <v>993</v>
      </c>
      <c r="J48" t="s">
        <v>536</v>
      </c>
    </row>
    <row r="49" spans="2:10">
      <c r="B49" s="208" t="s">
        <v>994</v>
      </c>
      <c r="J49" t="s">
        <v>537</v>
      </c>
    </row>
    <row r="50" spans="2:10">
      <c r="B50" s="208" t="s">
        <v>995</v>
      </c>
      <c r="J50" t="s">
        <v>538</v>
      </c>
    </row>
    <row r="51" spans="2:10">
      <c r="B51" s="208" t="s">
        <v>996</v>
      </c>
      <c r="J51" t="s">
        <v>539</v>
      </c>
    </row>
    <row r="52" spans="2:10">
      <c r="B52" s="208" t="s">
        <v>997</v>
      </c>
      <c r="J52" t="s">
        <v>540</v>
      </c>
    </row>
    <row r="53" spans="2:10">
      <c r="B53" s="208" t="s">
        <v>998</v>
      </c>
      <c r="J53" t="s">
        <v>541</v>
      </c>
    </row>
    <row r="54" spans="2:10">
      <c r="B54" s="208" t="s">
        <v>999</v>
      </c>
      <c r="J54" t="s">
        <v>542</v>
      </c>
    </row>
    <row r="55" spans="2:10">
      <c r="B55" s="208" t="s">
        <v>1000</v>
      </c>
      <c r="J55" t="s">
        <v>543</v>
      </c>
    </row>
    <row r="56" spans="2:10">
      <c r="B56" s="208" t="s">
        <v>1001</v>
      </c>
      <c r="J56" t="s">
        <v>544</v>
      </c>
    </row>
    <row r="57" spans="2:10">
      <c r="B57" s="208" t="s">
        <v>1002</v>
      </c>
      <c r="J57" t="s">
        <v>545</v>
      </c>
    </row>
    <row r="58" spans="2:10">
      <c r="B58" s="208" t="s">
        <v>1003</v>
      </c>
      <c r="J58" t="s">
        <v>546</v>
      </c>
    </row>
    <row r="59" spans="2:10">
      <c r="B59" s="208" t="s">
        <v>1004</v>
      </c>
      <c r="J59" t="s">
        <v>547</v>
      </c>
    </row>
    <row r="60" spans="2:10">
      <c r="B60" s="208" t="s">
        <v>1005</v>
      </c>
      <c r="J60" t="s">
        <v>548</v>
      </c>
    </row>
    <row r="61" spans="2:10">
      <c r="B61" s="208" t="s">
        <v>1006</v>
      </c>
      <c r="J61" t="s">
        <v>549</v>
      </c>
    </row>
    <row r="62" spans="2:10">
      <c r="B62" s="208" t="s">
        <v>1007</v>
      </c>
      <c r="J62" t="s">
        <v>550</v>
      </c>
    </row>
    <row r="63" spans="2:10">
      <c r="B63" s="208" t="s">
        <v>1008</v>
      </c>
      <c r="J63" t="s">
        <v>551</v>
      </c>
    </row>
    <row r="64" spans="2:10">
      <c r="B64" s="208" t="s">
        <v>1009</v>
      </c>
      <c r="J64" t="s">
        <v>552</v>
      </c>
    </row>
    <row r="65" spans="2:10">
      <c r="B65" s="208" t="s">
        <v>1010</v>
      </c>
      <c r="J65" t="s">
        <v>553</v>
      </c>
    </row>
    <row r="66" spans="2:10">
      <c r="B66" s="208" t="s">
        <v>1011</v>
      </c>
      <c r="J66" t="s">
        <v>554</v>
      </c>
    </row>
    <row r="67" spans="2:10">
      <c r="B67" s="208" t="s">
        <v>1012</v>
      </c>
      <c r="J67" t="s">
        <v>555</v>
      </c>
    </row>
    <row r="68" spans="2:10">
      <c r="B68" s="208" t="s">
        <v>1013</v>
      </c>
      <c r="J68" t="s">
        <v>556</v>
      </c>
    </row>
    <row r="69" spans="2:10">
      <c r="B69" s="208" t="s">
        <v>1014</v>
      </c>
      <c r="J69" t="s">
        <v>557</v>
      </c>
    </row>
    <row r="70" spans="2:10">
      <c r="B70" s="208" t="s">
        <v>1015</v>
      </c>
      <c r="J70" t="s">
        <v>558</v>
      </c>
    </row>
    <row r="71" spans="2:10">
      <c r="B71" s="208" t="s">
        <v>1016</v>
      </c>
      <c r="J71" t="s">
        <v>559</v>
      </c>
    </row>
    <row r="72" spans="2:10">
      <c r="B72" s="208" t="s">
        <v>1017</v>
      </c>
      <c r="J72" t="s">
        <v>560</v>
      </c>
    </row>
    <row r="73" spans="2:10">
      <c r="B73" s="208" t="s">
        <v>1018</v>
      </c>
      <c r="J73" t="s">
        <v>561</v>
      </c>
    </row>
    <row r="74" spans="2:10">
      <c r="B74" s="208" t="s">
        <v>1019</v>
      </c>
      <c r="J74" t="s">
        <v>562</v>
      </c>
    </row>
    <row r="75" spans="2:10">
      <c r="B75" s="208" t="s">
        <v>1020</v>
      </c>
      <c r="J75" t="s">
        <v>563</v>
      </c>
    </row>
    <row r="76" spans="2:10">
      <c r="B76" s="208" t="s">
        <v>1021</v>
      </c>
      <c r="J76" t="s">
        <v>564</v>
      </c>
    </row>
    <row r="77" spans="2:10">
      <c r="B77" s="208" t="s">
        <v>1022</v>
      </c>
      <c r="J77" t="s">
        <v>565</v>
      </c>
    </row>
    <row r="78" spans="2:10">
      <c r="B78" s="208" t="s">
        <v>1023</v>
      </c>
      <c r="J78" t="s">
        <v>566</v>
      </c>
    </row>
    <row r="79" spans="2:10">
      <c r="B79" s="208" t="s">
        <v>1024</v>
      </c>
      <c r="J79" t="s">
        <v>567</v>
      </c>
    </row>
    <row r="80" spans="2:10">
      <c r="B80" s="208" t="s">
        <v>1025</v>
      </c>
      <c r="J80" t="s">
        <v>568</v>
      </c>
    </row>
    <row r="81" spans="2:10">
      <c r="B81" s="208" t="s">
        <v>1026</v>
      </c>
      <c r="J81" t="s">
        <v>569</v>
      </c>
    </row>
    <row r="82" spans="2:10">
      <c r="B82" s="208" t="s">
        <v>1027</v>
      </c>
      <c r="J82" t="s">
        <v>570</v>
      </c>
    </row>
    <row r="83" spans="2:10">
      <c r="B83" s="208" t="s">
        <v>1028</v>
      </c>
      <c r="J83" t="s">
        <v>571</v>
      </c>
    </row>
    <row r="84" spans="2:10">
      <c r="B84" s="208" t="s">
        <v>1029</v>
      </c>
      <c r="J84" t="s">
        <v>572</v>
      </c>
    </row>
    <row r="85" spans="2:10">
      <c r="B85" s="208" t="s">
        <v>1030</v>
      </c>
      <c r="J85" t="s">
        <v>573</v>
      </c>
    </row>
    <row r="86" spans="2:10">
      <c r="B86" s="208" t="s">
        <v>1031</v>
      </c>
      <c r="J86" t="s">
        <v>574</v>
      </c>
    </row>
    <row r="87" spans="2:10">
      <c r="B87" s="208" t="s">
        <v>1032</v>
      </c>
      <c r="J87" t="s">
        <v>575</v>
      </c>
    </row>
    <row r="88" spans="2:10">
      <c r="B88" s="208" t="s">
        <v>1033</v>
      </c>
      <c r="J88" t="s">
        <v>576</v>
      </c>
    </row>
    <row r="89" spans="2:10">
      <c r="B89" s="208" t="s">
        <v>1034</v>
      </c>
      <c r="J89" t="s">
        <v>577</v>
      </c>
    </row>
    <row r="90" spans="2:10">
      <c r="B90" s="208" t="s">
        <v>1035</v>
      </c>
      <c r="J90" t="s">
        <v>578</v>
      </c>
    </row>
    <row r="91" spans="2:10">
      <c r="B91" s="208" t="s">
        <v>1036</v>
      </c>
      <c r="J91" t="s">
        <v>579</v>
      </c>
    </row>
    <row r="92" spans="2:10">
      <c r="B92" s="208" t="s">
        <v>1037</v>
      </c>
      <c r="J92" t="s">
        <v>580</v>
      </c>
    </row>
    <row r="93" spans="2:10">
      <c r="B93" s="208" t="s">
        <v>1038</v>
      </c>
      <c r="J93" t="s">
        <v>581</v>
      </c>
    </row>
    <row r="94" spans="2:10">
      <c r="B94" s="208" t="s">
        <v>1039</v>
      </c>
      <c r="J94" t="s">
        <v>582</v>
      </c>
    </row>
    <row r="95" spans="2:10">
      <c r="B95" s="208" t="s">
        <v>1040</v>
      </c>
      <c r="J95" t="s">
        <v>583</v>
      </c>
    </row>
    <row r="96" spans="2:10">
      <c r="B96" s="208" t="s">
        <v>1041</v>
      </c>
      <c r="J96" t="s">
        <v>584</v>
      </c>
    </row>
    <row r="97" spans="2:10">
      <c r="B97" s="208" t="s">
        <v>1042</v>
      </c>
      <c r="J97" t="s">
        <v>585</v>
      </c>
    </row>
    <row r="98" spans="2:10">
      <c r="B98" s="208" t="s">
        <v>1043</v>
      </c>
      <c r="J98" t="s">
        <v>586</v>
      </c>
    </row>
    <row r="99" spans="2:10">
      <c r="B99" s="208" t="s">
        <v>1044</v>
      </c>
      <c r="J99" t="s">
        <v>587</v>
      </c>
    </row>
    <row r="100" spans="2:10">
      <c r="B100" s="208" t="s">
        <v>1045</v>
      </c>
      <c r="J100" t="s">
        <v>588</v>
      </c>
    </row>
    <row r="101" spans="2:10">
      <c r="B101" s="208" t="s">
        <v>1046</v>
      </c>
      <c r="J101" t="s">
        <v>589</v>
      </c>
    </row>
    <row r="102" spans="2:10">
      <c r="B102" s="208" t="s">
        <v>1047</v>
      </c>
      <c r="J102" t="s">
        <v>590</v>
      </c>
    </row>
    <row r="103" spans="2:10">
      <c r="B103" s="208" t="s">
        <v>1048</v>
      </c>
      <c r="J103" t="s">
        <v>591</v>
      </c>
    </row>
    <row r="104" spans="2:10">
      <c r="B104" s="208" t="s">
        <v>1049</v>
      </c>
    </row>
    <row r="105" spans="2:10">
      <c r="B105" s="208" t="s">
        <v>1050</v>
      </c>
    </row>
    <row r="106" spans="2:10">
      <c r="B106" s="208" t="s">
        <v>1051</v>
      </c>
    </row>
    <row r="107" spans="2:10">
      <c r="B107" s="208" t="s">
        <v>1052</v>
      </c>
    </row>
    <row r="108" spans="2:10">
      <c r="B108" s="208" t="s">
        <v>1053</v>
      </c>
    </row>
    <row r="109" spans="2:10">
      <c r="B109" s="208" t="s">
        <v>1054</v>
      </c>
    </row>
    <row r="110" spans="2:10">
      <c r="B110" s="208" t="s">
        <v>1055</v>
      </c>
    </row>
    <row r="111" spans="2:10">
      <c r="B111" s="208" t="s">
        <v>1056</v>
      </c>
    </row>
    <row r="112" spans="2:10">
      <c r="B112" s="208" t="s">
        <v>1057</v>
      </c>
    </row>
    <row r="113" spans="2:2">
      <c r="B113" s="208" t="s">
        <v>1058</v>
      </c>
    </row>
    <row r="114" spans="2:2">
      <c r="B114" s="208" t="s">
        <v>1059</v>
      </c>
    </row>
    <row r="115" spans="2:2">
      <c r="B115" s="208" t="s">
        <v>1060</v>
      </c>
    </row>
    <row r="116" spans="2:2">
      <c r="B116" s="208" t="s">
        <v>1061</v>
      </c>
    </row>
    <row r="117" spans="2:2">
      <c r="B117" s="208" t="s">
        <v>1062</v>
      </c>
    </row>
    <row r="118" spans="2:2">
      <c r="B118" s="208" t="s">
        <v>1063</v>
      </c>
    </row>
    <row r="119" spans="2:2">
      <c r="B119" s="208" t="s">
        <v>1064</v>
      </c>
    </row>
    <row r="120" spans="2:2">
      <c r="B120" s="208" t="s">
        <v>1065</v>
      </c>
    </row>
    <row r="121" spans="2:2">
      <c r="B121" s="208" t="s">
        <v>1066</v>
      </c>
    </row>
    <row r="122" spans="2:2">
      <c r="B122" s="208" t="s">
        <v>1067</v>
      </c>
    </row>
    <row r="123" spans="2:2">
      <c r="B123" s="208" t="s">
        <v>1068</v>
      </c>
    </row>
    <row r="124" spans="2:2">
      <c r="B124" s="208" t="s">
        <v>1069</v>
      </c>
    </row>
    <row r="125" spans="2:2">
      <c r="B125" s="208" t="s">
        <v>1070</v>
      </c>
    </row>
    <row r="126" spans="2:2">
      <c r="B126" s="208" t="s">
        <v>1071</v>
      </c>
    </row>
    <row r="127" spans="2:2">
      <c r="B127" s="208" t="s">
        <v>1072</v>
      </c>
    </row>
    <row r="128" spans="2:2">
      <c r="B128" s="208" t="s">
        <v>1073</v>
      </c>
    </row>
    <row r="129" spans="2:2">
      <c r="B129" s="208" t="s">
        <v>1074</v>
      </c>
    </row>
    <row r="130" spans="2:2">
      <c r="B130" s="208" t="s">
        <v>1075</v>
      </c>
    </row>
    <row r="131" spans="2:2">
      <c r="B131" s="208" t="s">
        <v>1076</v>
      </c>
    </row>
    <row r="132" spans="2:2">
      <c r="B132" s="208" t="s">
        <v>1077</v>
      </c>
    </row>
    <row r="133" spans="2:2">
      <c r="B133" s="208" t="s">
        <v>1078</v>
      </c>
    </row>
    <row r="134" spans="2:2">
      <c r="B134" s="208" t="s">
        <v>1079</v>
      </c>
    </row>
    <row r="135" spans="2:2">
      <c r="B135" s="208" t="s">
        <v>1080</v>
      </c>
    </row>
    <row r="136" spans="2:2">
      <c r="B136" s="208" t="s">
        <v>1081</v>
      </c>
    </row>
    <row r="137" spans="2:2">
      <c r="B137" s="208" t="s">
        <v>1082</v>
      </c>
    </row>
    <row r="138" spans="2:2">
      <c r="B138" s="208" t="s">
        <v>1083</v>
      </c>
    </row>
    <row r="139" spans="2:2">
      <c r="B139" s="208" t="s">
        <v>1084</v>
      </c>
    </row>
    <row r="140" spans="2:2">
      <c r="B140" s="208" t="s">
        <v>1085</v>
      </c>
    </row>
    <row r="141" spans="2:2">
      <c r="B141" s="208" t="s">
        <v>1086</v>
      </c>
    </row>
    <row r="142" spans="2:2">
      <c r="B142" s="208" t="s">
        <v>1087</v>
      </c>
    </row>
    <row r="143" spans="2:2">
      <c r="B143" s="208" t="s">
        <v>1088</v>
      </c>
    </row>
    <row r="144" spans="2:2">
      <c r="B144" s="208" t="s">
        <v>1089</v>
      </c>
    </row>
    <row r="145" spans="2:2">
      <c r="B145" s="208" t="s">
        <v>1090</v>
      </c>
    </row>
    <row r="146" spans="2:2">
      <c r="B146" s="208" t="s">
        <v>1091</v>
      </c>
    </row>
    <row r="147" spans="2:2">
      <c r="B147" s="208" t="s">
        <v>1092</v>
      </c>
    </row>
    <row r="148" spans="2:2">
      <c r="B148" s="208" t="s">
        <v>1093</v>
      </c>
    </row>
    <row r="149" spans="2:2">
      <c r="B149" s="208" t="s">
        <v>1094</v>
      </c>
    </row>
    <row r="150" spans="2:2">
      <c r="B150" s="208" t="s">
        <v>1095</v>
      </c>
    </row>
    <row r="151" spans="2:2">
      <c r="B151" s="208" t="s">
        <v>1096</v>
      </c>
    </row>
    <row r="152" spans="2:2">
      <c r="B152" s="208" t="s">
        <v>1097</v>
      </c>
    </row>
    <row r="153" spans="2:2">
      <c r="B153" s="208" t="s">
        <v>1098</v>
      </c>
    </row>
    <row r="154" spans="2:2">
      <c r="B154" s="208" t="s">
        <v>1099</v>
      </c>
    </row>
    <row r="155" spans="2:2">
      <c r="B155" s="208" t="s">
        <v>1100</v>
      </c>
    </row>
    <row r="156" spans="2:2">
      <c r="B156" s="208" t="s">
        <v>1101</v>
      </c>
    </row>
    <row r="157" spans="2:2">
      <c r="B157" s="208" t="s">
        <v>1102</v>
      </c>
    </row>
    <row r="158" spans="2:2">
      <c r="B158" s="208" t="s">
        <v>1103</v>
      </c>
    </row>
    <row r="159" spans="2:2">
      <c r="B159" s="208" t="s">
        <v>1104</v>
      </c>
    </row>
    <row r="160" spans="2:2">
      <c r="B160" s="208" t="s">
        <v>1105</v>
      </c>
    </row>
    <row r="161" spans="2:2">
      <c r="B161" s="208" t="s">
        <v>1106</v>
      </c>
    </row>
    <row r="162" spans="2:2">
      <c r="B162" s="208" t="s">
        <v>1107</v>
      </c>
    </row>
    <row r="163" spans="2:2">
      <c r="B163" s="208" t="s">
        <v>1108</v>
      </c>
    </row>
    <row r="164" spans="2:2">
      <c r="B164" s="208" t="s">
        <v>1109</v>
      </c>
    </row>
    <row r="165" spans="2:2">
      <c r="B165" s="208" t="s">
        <v>1110</v>
      </c>
    </row>
    <row r="166" spans="2:2">
      <c r="B166" s="208" t="s">
        <v>1111</v>
      </c>
    </row>
    <row r="167" spans="2:2">
      <c r="B167" s="208" t="s">
        <v>1112</v>
      </c>
    </row>
    <row r="168" spans="2:2">
      <c r="B168" s="208" t="s">
        <v>1113</v>
      </c>
    </row>
    <row r="169" spans="2:2">
      <c r="B169" s="208" t="s">
        <v>1114</v>
      </c>
    </row>
    <row r="170" spans="2:2">
      <c r="B170" s="208" t="s">
        <v>1115</v>
      </c>
    </row>
    <row r="171" spans="2:2">
      <c r="B171" s="208" t="s">
        <v>1116</v>
      </c>
    </row>
    <row r="172" spans="2:2">
      <c r="B172" s="208" t="s">
        <v>1117</v>
      </c>
    </row>
    <row r="173" spans="2:2">
      <c r="B173" s="208" t="s">
        <v>1118</v>
      </c>
    </row>
    <row r="174" spans="2:2">
      <c r="B174" s="208" t="s">
        <v>1119</v>
      </c>
    </row>
    <row r="175" spans="2:2">
      <c r="B175" s="208" t="s">
        <v>1120</v>
      </c>
    </row>
    <row r="176" spans="2:2">
      <c r="B176" s="208" t="s">
        <v>1121</v>
      </c>
    </row>
    <row r="177" spans="2:2">
      <c r="B177" s="208" t="s">
        <v>1122</v>
      </c>
    </row>
    <row r="178" spans="2:2">
      <c r="B178" s="208" t="s">
        <v>1123</v>
      </c>
    </row>
    <row r="179" spans="2:2">
      <c r="B179" s="208" t="s">
        <v>1124</v>
      </c>
    </row>
    <row r="180" spans="2:2">
      <c r="B180" s="208" t="s">
        <v>1125</v>
      </c>
    </row>
    <row r="181" spans="2:2">
      <c r="B181" s="208" t="s">
        <v>1126</v>
      </c>
    </row>
    <row r="182" spans="2:2">
      <c r="B182" s="208" t="s">
        <v>1127</v>
      </c>
    </row>
    <row r="183" spans="2:2">
      <c r="B183" s="208" t="s">
        <v>1128</v>
      </c>
    </row>
    <row r="184" spans="2:2">
      <c r="B184" s="208" t="s">
        <v>1129</v>
      </c>
    </row>
    <row r="185" spans="2:2">
      <c r="B185" s="208" t="s">
        <v>1130</v>
      </c>
    </row>
    <row r="186" spans="2:2">
      <c r="B186" s="208" t="s">
        <v>1131</v>
      </c>
    </row>
    <row r="187" spans="2:2">
      <c r="B187" s="208" t="s">
        <v>1132</v>
      </c>
    </row>
    <row r="188" spans="2:2">
      <c r="B188" s="208" t="s">
        <v>1133</v>
      </c>
    </row>
    <row r="189" spans="2:2">
      <c r="B189" s="208" t="s">
        <v>1134</v>
      </c>
    </row>
    <row r="190" spans="2:2">
      <c r="B190" s="208" t="s">
        <v>1135</v>
      </c>
    </row>
    <row r="191" spans="2:2">
      <c r="B191" s="208" t="s">
        <v>1136</v>
      </c>
    </row>
    <row r="192" spans="2:2">
      <c r="B192" s="208" t="s">
        <v>1137</v>
      </c>
    </row>
    <row r="193" spans="2:2">
      <c r="B193" s="208" t="s">
        <v>1138</v>
      </c>
    </row>
    <row r="194" spans="2:2">
      <c r="B194" s="208" t="s">
        <v>1139</v>
      </c>
    </row>
    <row r="195" spans="2:2">
      <c r="B195" s="208" t="s">
        <v>1140</v>
      </c>
    </row>
    <row r="196" spans="2:2">
      <c r="B196" s="208" t="s">
        <v>1141</v>
      </c>
    </row>
    <row r="197" spans="2:2">
      <c r="B197" s="208" t="s">
        <v>1142</v>
      </c>
    </row>
    <row r="198" spans="2:2">
      <c r="B198" s="208" t="s">
        <v>1143</v>
      </c>
    </row>
    <row r="199" spans="2:2">
      <c r="B199" s="208" t="s">
        <v>1144</v>
      </c>
    </row>
    <row r="200" spans="2:2">
      <c r="B200" s="208" t="s">
        <v>1145</v>
      </c>
    </row>
    <row r="201" spans="2:2">
      <c r="B201" s="208" t="s">
        <v>1146</v>
      </c>
    </row>
    <row r="202" spans="2:2">
      <c r="B202" s="208" t="s">
        <v>1147</v>
      </c>
    </row>
    <row r="203" spans="2:2">
      <c r="B203" s="208" t="s">
        <v>1148</v>
      </c>
    </row>
    <row r="204" spans="2:2">
      <c r="B204" s="208" t="s">
        <v>1149</v>
      </c>
    </row>
    <row r="205" spans="2:2">
      <c r="B205" s="208" t="s">
        <v>1150</v>
      </c>
    </row>
    <row r="206" spans="2:2">
      <c r="B206" s="208" t="s">
        <v>1151</v>
      </c>
    </row>
    <row r="207" spans="2:2">
      <c r="B207" s="208" t="s">
        <v>1152</v>
      </c>
    </row>
    <row r="208" spans="2:2">
      <c r="B208" s="208" t="s">
        <v>1153</v>
      </c>
    </row>
    <row r="209" spans="2:2">
      <c r="B209" s="208" t="s">
        <v>1154</v>
      </c>
    </row>
    <row r="210" spans="2:2">
      <c r="B210" s="208" t="s">
        <v>1155</v>
      </c>
    </row>
    <row r="211" spans="2:2">
      <c r="B211" s="208" t="s">
        <v>1156</v>
      </c>
    </row>
    <row r="212" spans="2:2">
      <c r="B212" s="208" t="s">
        <v>1157</v>
      </c>
    </row>
    <row r="213" spans="2:2">
      <c r="B213" s="208" t="s">
        <v>1158</v>
      </c>
    </row>
    <row r="214" spans="2:2">
      <c r="B214" s="208" t="s">
        <v>1159</v>
      </c>
    </row>
    <row r="215" spans="2:2">
      <c r="B215" s="208" t="s">
        <v>1160</v>
      </c>
    </row>
    <row r="216" spans="2:2">
      <c r="B216" s="208" t="s">
        <v>1161</v>
      </c>
    </row>
    <row r="217" spans="2:2">
      <c r="B217" s="208" t="s">
        <v>1162</v>
      </c>
    </row>
    <row r="218" spans="2:2">
      <c r="B218" s="208" t="s">
        <v>1163</v>
      </c>
    </row>
    <row r="219" spans="2:2">
      <c r="B219" s="208" t="s">
        <v>1164</v>
      </c>
    </row>
    <row r="220" spans="2:2">
      <c r="B220" s="208" t="s">
        <v>1165</v>
      </c>
    </row>
    <row r="221" spans="2:2">
      <c r="B221" s="208" t="s">
        <v>1166</v>
      </c>
    </row>
    <row r="222" spans="2:2">
      <c r="B222" s="208" t="s">
        <v>1167</v>
      </c>
    </row>
    <row r="223" spans="2:2">
      <c r="B223" s="208" t="s">
        <v>1168</v>
      </c>
    </row>
    <row r="224" spans="2:2">
      <c r="B224" s="208" t="s">
        <v>1169</v>
      </c>
    </row>
    <row r="225" spans="2:2">
      <c r="B225" s="208" t="s">
        <v>1170</v>
      </c>
    </row>
    <row r="226" spans="2:2">
      <c r="B226" s="208" t="s">
        <v>1171</v>
      </c>
    </row>
    <row r="227" spans="2:2">
      <c r="B227" s="208" t="s">
        <v>1172</v>
      </c>
    </row>
    <row r="228" spans="2:2">
      <c r="B228" s="208" t="s">
        <v>1173</v>
      </c>
    </row>
    <row r="229" spans="2:2">
      <c r="B229" s="208" t="s">
        <v>1174</v>
      </c>
    </row>
    <row r="230" spans="2:2">
      <c r="B230" s="208" t="s">
        <v>1175</v>
      </c>
    </row>
    <row r="231" spans="2:2">
      <c r="B231" s="208" t="s">
        <v>1176</v>
      </c>
    </row>
    <row r="232" spans="2:2">
      <c r="B232" s="208" t="s">
        <v>1177</v>
      </c>
    </row>
    <row r="233" spans="2:2">
      <c r="B233" s="208" t="s">
        <v>1178</v>
      </c>
    </row>
    <row r="234" spans="2:2">
      <c r="B234" s="208" t="s">
        <v>1179</v>
      </c>
    </row>
    <row r="235" spans="2:2">
      <c r="B235" s="208" t="s">
        <v>1180</v>
      </c>
    </row>
    <row r="236" spans="2:2">
      <c r="B236" s="208" t="s">
        <v>1181</v>
      </c>
    </row>
    <row r="237" spans="2:2">
      <c r="B237" s="208" t="s">
        <v>1182</v>
      </c>
    </row>
    <row r="238" spans="2:2">
      <c r="B238" s="208" t="s">
        <v>1183</v>
      </c>
    </row>
    <row r="239" spans="2:2">
      <c r="B239" s="208" t="s">
        <v>1184</v>
      </c>
    </row>
    <row r="240" spans="2:2">
      <c r="B240" s="208" t="s">
        <v>1185</v>
      </c>
    </row>
    <row r="241" spans="2:2">
      <c r="B241" s="208" t="s">
        <v>1186</v>
      </c>
    </row>
    <row r="242" spans="2:2">
      <c r="B242" s="208" t="s">
        <v>1187</v>
      </c>
    </row>
    <row r="243" spans="2:2">
      <c r="B243" s="208" t="s">
        <v>1188</v>
      </c>
    </row>
    <row r="244" spans="2:2">
      <c r="B244" s="208" t="s">
        <v>1189</v>
      </c>
    </row>
    <row r="245" spans="2:2">
      <c r="B245" s="208" t="s">
        <v>1190</v>
      </c>
    </row>
    <row r="246" spans="2:2">
      <c r="B246" s="208" t="s">
        <v>1191</v>
      </c>
    </row>
    <row r="247" spans="2:2">
      <c r="B247" s="208" t="s">
        <v>1192</v>
      </c>
    </row>
    <row r="248" spans="2:2">
      <c r="B248" s="208" t="s">
        <v>1193</v>
      </c>
    </row>
    <row r="249" spans="2:2">
      <c r="B249" s="208" t="s">
        <v>1194</v>
      </c>
    </row>
    <row r="250" spans="2:2">
      <c r="B250" s="208" t="s">
        <v>1195</v>
      </c>
    </row>
    <row r="251" spans="2:2">
      <c r="B251" s="208" t="s">
        <v>1196</v>
      </c>
    </row>
    <row r="252" spans="2:2">
      <c r="B252" s="208" t="s">
        <v>1197</v>
      </c>
    </row>
    <row r="253" spans="2:2">
      <c r="B253" s="208" t="s">
        <v>1198</v>
      </c>
    </row>
    <row r="254" spans="2:2">
      <c r="B254" s="208" t="s">
        <v>1199</v>
      </c>
    </row>
    <row r="255" spans="2:2">
      <c r="B255" s="208" t="s">
        <v>1200</v>
      </c>
    </row>
    <row r="256" spans="2:2">
      <c r="B256" s="208" t="s">
        <v>1201</v>
      </c>
    </row>
    <row r="257" spans="2:2">
      <c r="B257" s="208" t="s">
        <v>1202</v>
      </c>
    </row>
    <row r="258" spans="2:2">
      <c r="B258" s="208" t="s">
        <v>1203</v>
      </c>
    </row>
    <row r="259" spans="2:2">
      <c r="B259" s="208" t="s">
        <v>1204</v>
      </c>
    </row>
    <row r="260" spans="2:2">
      <c r="B260" s="208" t="s">
        <v>1205</v>
      </c>
    </row>
    <row r="261" spans="2:2">
      <c r="B261" s="208" t="s">
        <v>1206</v>
      </c>
    </row>
    <row r="262" spans="2:2">
      <c r="B262" s="208" t="s">
        <v>1207</v>
      </c>
    </row>
    <row r="263" spans="2:2">
      <c r="B263" s="208" t="s">
        <v>1208</v>
      </c>
    </row>
    <row r="264" spans="2:2">
      <c r="B264" s="208" t="s">
        <v>1209</v>
      </c>
    </row>
    <row r="265" spans="2:2">
      <c r="B265" s="208" t="s">
        <v>1210</v>
      </c>
    </row>
    <row r="266" spans="2:2">
      <c r="B266" s="208" t="s">
        <v>1211</v>
      </c>
    </row>
    <row r="267" spans="2:2">
      <c r="B267" s="208" t="s">
        <v>1212</v>
      </c>
    </row>
    <row r="268" spans="2:2">
      <c r="B268" s="208" t="s">
        <v>1213</v>
      </c>
    </row>
    <row r="269" spans="2:2">
      <c r="B269" s="208" t="s">
        <v>1214</v>
      </c>
    </row>
    <row r="270" spans="2:2">
      <c r="B270" s="208" t="s">
        <v>1215</v>
      </c>
    </row>
    <row r="271" spans="2:2">
      <c r="B271" s="208" t="s">
        <v>1216</v>
      </c>
    </row>
    <row r="272" spans="2:2">
      <c r="B272" s="208" t="s">
        <v>1217</v>
      </c>
    </row>
    <row r="273" spans="2:2">
      <c r="B273" s="208" t="s">
        <v>1218</v>
      </c>
    </row>
    <row r="274" spans="2:2">
      <c r="B274" s="208" t="s">
        <v>1219</v>
      </c>
    </row>
    <row r="275" spans="2:2">
      <c r="B275" s="208" t="s">
        <v>1220</v>
      </c>
    </row>
    <row r="276" spans="2:2">
      <c r="B276" s="208" t="s">
        <v>1221</v>
      </c>
    </row>
    <row r="277" spans="2:2">
      <c r="B277" s="208" t="s">
        <v>1222</v>
      </c>
    </row>
    <row r="278" spans="2:2">
      <c r="B278" s="208" t="s">
        <v>1223</v>
      </c>
    </row>
    <row r="279" spans="2:2">
      <c r="B279" s="208" t="s">
        <v>1224</v>
      </c>
    </row>
    <row r="280" spans="2:2">
      <c r="B280" s="208" t="s">
        <v>1225</v>
      </c>
    </row>
    <row r="281" spans="2:2">
      <c r="B281" s="208" t="s">
        <v>1226</v>
      </c>
    </row>
    <row r="282" spans="2:2">
      <c r="B282" s="208" t="s">
        <v>1227</v>
      </c>
    </row>
    <row r="283" spans="2:2">
      <c r="B283" s="208" t="s">
        <v>1228</v>
      </c>
    </row>
    <row r="284" spans="2:2">
      <c r="B284" s="208" t="s">
        <v>1229</v>
      </c>
    </row>
    <row r="285" spans="2:2">
      <c r="B285" s="208" t="s">
        <v>1230</v>
      </c>
    </row>
    <row r="286" spans="2:2">
      <c r="B286" s="208" t="s">
        <v>1231</v>
      </c>
    </row>
    <row r="287" spans="2:2">
      <c r="B287" s="208" t="s">
        <v>1232</v>
      </c>
    </row>
    <row r="288" spans="2:2">
      <c r="B288" s="208" t="s">
        <v>1233</v>
      </c>
    </row>
    <row r="289" spans="2:2">
      <c r="B289" s="208" t="s">
        <v>1234</v>
      </c>
    </row>
    <row r="290" spans="2:2">
      <c r="B290" s="208" t="s">
        <v>1235</v>
      </c>
    </row>
    <row r="291" spans="2:2">
      <c r="B291" s="208" t="s">
        <v>1236</v>
      </c>
    </row>
    <row r="292" spans="2:2">
      <c r="B292" s="208" t="s">
        <v>1237</v>
      </c>
    </row>
    <row r="293" spans="2:2">
      <c r="B293" s="208" t="s">
        <v>1238</v>
      </c>
    </row>
    <row r="294" spans="2:2">
      <c r="B294" s="208" t="s">
        <v>1239</v>
      </c>
    </row>
    <row r="295" spans="2:2">
      <c r="B295" s="208" t="s">
        <v>1240</v>
      </c>
    </row>
    <row r="296" spans="2:2">
      <c r="B296" s="208" t="s">
        <v>1241</v>
      </c>
    </row>
    <row r="297" spans="2:2">
      <c r="B297" s="208" t="s">
        <v>1242</v>
      </c>
    </row>
    <row r="298" spans="2:2">
      <c r="B298" s="208" t="s">
        <v>1243</v>
      </c>
    </row>
    <row r="299" spans="2:2">
      <c r="B299" s="208" t="s">
        <v>1244</v>
      </c>
    </row>
    <row r="300" spans="2:2">
      <c r="B300" s="208" t="s">
        <v>1245</v>
      </c>
    </row>
    <row r="301" spans="2:2">
      <c r="B301" s="208" t="s">
        <v>1246</v>
      </c>
    </row>
    <row r="302" spans="2:2">
      <c r="B302" s="208" t="s">
        <v>1247</v>
      </c>
    </row>
    <row r="303" spans="2:2">
      <c r="B303" s="208" t="s">
        <v>1248</v>
      </c>
    </row>
    <row r="304" spans="2:2">
      <c r="B304" s="208" t="s">
        <v>1249</v>
      </c>
    </row>
    <row r="305" spans="2:2">
      <c r="B305" s="208" t="s">
        <v>1250</v>
      </c>
    </row>
    <row r="306" spans="2:2">
      <c r="B306" s="208" t="s">
        <v>1251</v>
      </c>
    </row>
    <row r="307" spans="2:2">
      <c r="B307" s="208" t="s">
        <v>1252</v>
      </c>
    </row>
    <row r="308" spans="2:2">
      <c r="B308" s="208" t="s">
        <v>1253</v>
      </c>
    </row>
    <row r="309" spans="2:2">
      <c r="B309" s="208" t="s">
        <v>1254</v>
      </c>
    </row>
    <row r="310" spans="2:2">
      <c r="B310" s="208" t="s">
        <v>1255</v>
      </c>
    </row>
    <row r="311" spans="2:2">
      <c r="B311" s="208" t="s">
        <v>1256</v>
      </c>
    </row>
    <row r="312" spans="2:2">
      <c r="B312" s="208" t="s">
        <v>1257</v>
      </c>
    </row>
    <row r="313" spans="2:2">
      <c r="B313" s="208" t="s">
        <v>1258</v>
      </c>
    </row>
    <row r="314" spans="2:2">
      <c r="B314" s="208" t="s">
        <v>1259</v>
      </c>
    </row>
    <row r="315" spans="2:2">
      <c r="B315" s="208" t="s">
        <v>1260</v>
      </c>
    </row>
    <row r="316" spans="2:2">
      <c r="B316" s="208" t="s">
        <v>1261</v>
      </c>
    </row>
    <row r="317" spans="2:2">
      <c r="B317" s="208" t="s">
        <v>1262</v>
      </c>
    </row>
    <row r="318" spans="2:2">
      <c r="B318" s="208" t="s">
        <v>1263</v>
      </c>
    </row>
    <row r="319" spans="2:2">
      <c r="B319" s="208" t="s">
        <v>1264</v>
      </c>
    </row>
    <row r="320" spans="2:2">
      <c r="B320" s="208" t="s">
        <v>1265</v>
      </c>
    </row>
    <row r="321" spans="2:2">
      <c r="B321" s="208" t="s">
        <v>1266</v>
      </c>
    </row>
    <row r="322" spans="2:2">
      <c r="B322" s="208" t="s">
        <v>1267</v>
      </c>
    </row>
    <row r="323" spans="2:2">
      <c r="B323" s="208" t="s">
        <v>1268</v>
      </c>
    </row>
    <row r="324" spans="2:2">
      <c r="B324" s="208" t="s">
        <v>1269</v>
      </c>
    </row>
    <row r="325" spans="2:2">
      <c r="B325" s="208" t="s">
        <v>1270</v>
      </c>
    </row>
  </sheetData>
  <sortState xmlns:xlrd2="http://schemas.microsoft.com/office/spreadsheetml/2017/richdata2"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6" activePane="bottomLeft" state="frozen"/>
      <selection pane="bottomLeft" activeCell="K15" sqref="K15"/>
    </sheetView>
  </sheetViews>
  <sheetFormatPr defaultColWidth="9.140625" defaultRowHeight="12.75"/>
  <cols>
    <col min="1" max="1" width="39.140625" style="179" customWidth="1"/>
    <col min="2" max="2" width="22.85546875" style="179" customWidth="1"/>
    <col min="3" max="3" width="10.42578125" style="179" customWidth="1"/>
    <col min="4" max="5" width="9.140625" style="179"/>
    <col min="6" max="6" width="26.140625" style="179" customWidth="1"/>
    <col min="7" max="8" width="9.140625" style="179"/>
    <col min="9" max="9" width="24" style="179" customWidth="1"/>
    <col min="10" max="16384" width="9.140625" style="179"/>
  </cols>
  <sheetData>
    <row r="1" spans="1:6" ht="15">
      <c r="A1" s="184" t="s">
        <v>1356</v>
      </c>
      <c r="B1" s="3" t="s">
        <v>1357</v>
      </c>
    </row>
    <row r="2" spans="1:6" s="177" customFormat="1" ht="125.1" customHeight="1">
      <c r="A2" s="181" t="s">
        <v>1908</v>
      </c>
      <c r="B2" s="181" t="s">
        <v>1909</v>
      </c>
      <c r="C2" s="181" t="s">
        <v>1910</v>
      </c>
      <c r="D2" s="181" t="s">
        <v>1911</v>
      </c>
      <c r="E2" s="181" t="s">
        <v>1912</v>
      </c>
      <c r="F2" s="181" t="s">
        <v>670</v>
      </c>
    </row>
    <row r="3" spans="1:6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>
      <c r="A5" s="178" t="s">
        <v>1394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>
      <c r="A7" s="178" t="s">
        <v>1395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>
      <c r="A9" s="178" t="s">
        <v>1931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>
      <c r="A10" s="179" t="s">
        <v>1396</v>
      </c>
      <c r="B10" s="179" t="s">
        <v>1362</v>
      </c>
    </row>
    <row r="11" spans="1:6">
      <c r="A11" s="179" t="s">
        <v>1397</v>
      </c>
      <c r="B11" s="179" t="s">
        <v>1369</v>
      </c>
    </row>
    <row r="12" spans="1:6">
      <c r="A12" s="179" t="s">
        <v>1364</v>
      </c>
      <c r="B12" s="179" t="s">
        <v>1365</v>
      </c>
    </row>
    <row r="13" spans="1:6">
      <c r="A13" s="179" t="s">
        <v>1377</v>
      </c>
      <c r="B13" s="179" t="s">
        <v>1378</v>
      </c>
    </row>
    <row r="14" spans="1:6">
      <c r="A14" s="179" t="s">
        <v>1941</v>
      </c>
      <c r="B14" s="179" t="s">
        <v>1368</v>
      </c>
    </row>
    <row r="15" spans="1:6">
      <c r="A15" s="179" t="s">
        <v>1387</v>
      </c>
      <c r="B15" s="179" t="s">
        <v>1388</v>
      </c>
    </row>
    <row r="16" spans="1:6">
      <c r="A16" s="179" t="s">
        <v>1380</v>
      </c>
      <c r="B16" s="179" t="s">
        <v>691</v>
      </c>
      <c r="D16" s="178" t="s">
        <v>691</v>
      </c>
      <c r="E16" s="178" t="s">
        <v>692</v>
      </c>
    </row>
    <row r="17" spans="1:6">
      <c r="A17" s="179" t="s">
        <v>2022</v>
      </c>
      <c r="B17" s="179" t="s">
        <v>689</v>
      </c>
      <c r="D17" s="178" t="s">
        <v>688</v>
      </c>
      <c r="E17" s="178" t="s">
        <v>689</v>
      </c>
    </row>
    <row r="18" spans="1:6">
      <c r="A18" s="179" t="s">
        <v>1433</v>
      </c>
      <c r="B18" s="179" t="s">
        <v>1370</v>
      </c>
    </row>
    <row r="19" spans="1:6">
      <c r="A19" s="179" t="s">
        <v>1389</v>
      </c>
      <c r="B19" s="179" t="s">
        <v>693</v>
      </c>
    </row>
    <row r="20" spans="1:6">
      <c r="A20" s="179" t="s">
        <v>1398</v>
      </c>
      <c r="B20" s="179" t="s">
        <v>1363</v>
      </c>
    </row>
    <row r="21" spans="1:6">
      <c r="A21" s="179" t="s">
        <v>1425</v>
      </c>
      <c r="B21" s="179" t="s">
        <v>1382</v>
      </c>
    </row>
    <row r="22" spans="1:6">
      <c r="A22" s="179" t="s">
        <v>1426</v>
      </c>
      <c r="B22" s="179" t="s">
        <v>1384</v>
      </c>
    </row>
    <row r="23" spans="1:6">
      <c r="A23" s="179" t="s">
        <v>1427</v>
      </c>
      <c r="B23" s="179" t="s">
        <v>1383</v>
      </c>
    </row>
    <row r="24" spans="1:6">
      <c r="A24" s="179" t="s">
        <v>1428</v>
      </c>
      <c r="B24" s="179" t="s">
        <v>1381</v>
      </c>
    </row>
    <row r="25" spans="1:6">
      <c r="A25" s="179" t="s">
        <v>1399</v>
      </c>
      <c r="B25" s="179" t="s">
        <v>1390</v>
      </c>
    </row>
    <row r="26" spans="1:6">
      <c r="A26" s="179" t="s">
        <v>1358</v>
      </c>
      <c r="B26" s="179" t="s">
        <v>1359</v>
      </c>
    </row>
    <row r="27" spans="1:6">
      <c r="A27" s="178" t="s">
        <v>1400</v>
      </c>
      <c r="B27" s="178" t="s">
        <v>1350</v>
      </c>
      <c r="C27" s="179" t="s">
        <v>1350</v>
      </c>
      <c r="D27" s="178" t="s">
        <v>1351</v>
      </c>
      <c r="E27" s="178" t="s">
        <v>1352</v>
      </c>
    </row>
    <row r="28" spans="1:6">
      <c r="A28" s="179" t="s">
        <v>1401</v>
      </c>
      <c r="B28" s="179" t="s">
        <v>1379</v>
      </c>
    </row>
    <row r="29" spans="1:6">
      <c r="A29" s="179" t="s">
        <v>1391</v>
      </c>
      <c r="B29" s="179" t="s">
        <v>1392</v>
      </c>
    </row>
    <row r="30" spans="1:6">
      <c r="A30" s="179" t="s">
        <v>1402</v>
      </c>
      <c r="B30" s="179" t="s">
        <v>1393</v>
      </c>
    </row>
    <row r="31" spans="1:6">
      <c r="A31" s="178" t="s">
        <v>855</v>
      </c>
      <c r="B31" s="178" t="s">
        <v>856</v>
      </c>
      <c r="C31" s="179" t="s">
        <v>857</v>
      </c>
      <c r="D31" s="178" t="s">
        <v>856</v>
      </c>
      <c r="E31" s="178" t="s">
        <v>858</v>
      </c>
      <c r="F31" s="178" t="s">
        <v>859</v>
      </c>
    </row>
    <row r="32" spans="1:6">
      <c r="A32" s="178" t="s">
        <v>1376</v>
      </c>
      <c r="B32" s="178" t="s">
        <v>852</v>
      </c>
      <c r="C32" s="179" t="s">
        <v>854</v>
      </c>
      <c r="D32" s="178" t="s">
        <v>853</v>
      </c>
      <c r="E32" s="178" t="s">
        <v>852</v>
      </c>
    </row>
    <row r="33" spans="1:6">
      <c r="A33" s="179" t="s">
        <v>1884</v>
      </c>
      <c r="B33" s="179" t="s">
        <v>1360</v>
      </c>
    </row>
    <row r="34" spans="1:6">
      <c r="A34" s="179" t="s">
        <v>1886</v>
      </c>
      <c r="B34" s="179" t="s">
        <v>1928</v>
      </c>
    </row>
    <row r="35" spans="1:6">
      <c r="A35" s="179" t="s">
        <v>1894</v>
      </c>
      <c r="B35" s="179" t="s">
        <v>1929</v>
      </c>
    </row>
    <row r="36" spans="1:6">
      <c r="A36" s="179" t="s">
        <v>1403</v>
      </c>
      <c r="B36" s="179" t="s">
        <v>1361</v>
      </c>
    </row>
    <row r="37" spans="1:6">
      <c r="A37" s="179" t="s">
        <v>1896</v>
      </c>
      <c r="B37" s="179" t="s">
        <v>1930</v>
      </c>
    </row>
    <row r="38" spans="1:6">
      <c r="A38" s="179" t="s">
        <v>1937</v>
      </c>
      <c r="B38" s="179" t="s">
        <v>1938</v>
      </c>
    </row>
    <row r="39" spans="1:6">
      <c r="A39" s="179" t="s">
        <v>1366</v>
      </c>
      <c r="B39" s="179" t="s">
        <v>1367</v>
      </c>
    </row>
    <row r="40" spans="1:6">
      <c r="A40" s="179" t="s">
        <v>1373</v>
      </c>
      <c r="B40" s="179" t="s">
        <v>1374</v>
      </c>
    </row>
    <row r="41" spans="1:6">
      <c r="A41" s="179" t="s">
        <v>1404</v>
      </c>
      <c r="B41" s="179" t="s">
        <v>1375</v>
      </c>
    </row>
    <row r="42" spans="1:6">
      <c r="A42" s="179" t="s">
        <v>1939</v>
      </c>
      <c r="B42" s="179" t="s">
        <v>1940</v>
      </c>
    </row>
    <row r="43" spans="1:6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>
      <c r="A44" s="178" t="s">
        <v>1868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>
      <c r="A45" s="178" t="s">
        <v>1875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>
      <c r="A46" s="178" t="s">
        <v>1870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>
      <c r="A47" s="178" t="s">
        <v>1405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>
      <c r="A48" s="178" t="s">
        <v>1406</v>
      </c>
      <c r="B48" s="178" t="s">
        <v>1338</v>
      </c>
      <c r="C48" s="178"/>
      <c r="D48" s="178" t="s">
        <v>1339</v>
      </c>
      <c r="E48" s="178" t="s">
        <v>1340</v>
      </c>
      <c r="F48" s="178" t="s">
        <v>698</v>
      </c>
    </row>
    <row r="49" spans="1:6">
      <c r="A49" s="178" t="s">
        <v>1407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>
      <c r="A50" s="178" t="s">
        <v>1408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>
      <c r="A51" s="178" t="s">
        <v>1507</v>
      </c>
      <c r="B51" s="178" t="s">
        <v>1353</v>
      </c>
      <c r="C51" s="178" t="s">
        <v>1353</v>
      </c>
      <c r="D51" s="178" t="s">
        <v>1354</v>
      </c>
      <c r="E51" s="178" t="s">
        <v>1355</v>
      </c>
      <c r="F51" s="178"/>
    </row>
    <row r="52" spans="1:6">
      <c r="A52" s="178" t="s">
        <v>1409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>
      <c r="A53" s="178" t="s">
        <v>1410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>
      <c r="A54" s="178" t="s">
        <v>1429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>
      <c r="A55" s="178" t="s">
        <v>1934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>
      <c r="A56" s="178" t="s">
        <v>1411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>
      <c r="A59" s="178" t="s">
        <v>1412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>
      <c r="A60" s="179" t="s">
        <v>1385</v>
      </c>
      <c r="B60" s="179" t="s">
        <v>1386</v>
      </c>
    </row>
    <row r="61" spans="1:6">
      <c r="A61" s="178" t="s">
        <v>1434</v>
      </c>
      <c r="B61" s="178" t="s">
        <v>774</v>
      </c>
      <c r="C61" s="178" t="s">
        <v>1349</v>
      </c>
      <c r="D61" s="178" t="s">
        <v>774</v>
      </c>
      <c r="E61" s="178" t="s">
        <v>1348</v>
      </c>
      <c r="F61" s="178"/>
    </row>
    <row r="62" spans="1:6">
      <c r="A62" s="178" t="s">
        <v>1413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>
      <c r="A63" s="178" t="s">
        <v>1508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>
      <c r="A64" s="178" t="s">
        <v>1414</v>
      </c>
      <c r="B64" s="178" t="s">
        <v>1344</v>
      </c>
      <c r="C64" s="178"/>
      <c r="D64" s="178" t="s">
        <v>726</v>
      </c>
      <c r="E64" s="178" t="s">
        <v>727</v>
      </c>
      <c r="F64" s="178"/>
    </row>
    <row r="65" spans="1:6">
      <c r="A65" s="178" t="s">
        <v>1415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>
      <c r="A70" s="178" t="s">
        <v>1275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>
      <c r="A71" s="179" t="s">
        <v>1371</v>
      </c>
      <c r="B71" s="179" t="s">
        <v>1372</v>
      </c>
    </row>
    <row r="72" spans="1:6">
      <c r="A72" s="178" t="s">
        <v>1509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>
      <c r="A75" s="178" t="s">
        <v>1430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>
      <c r="A76" s="178" t="s">
        <v>1431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>
      <c r="A77" s="178" t="s">
        <v>1432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>
      <c r="A78" s="178" t="s">
        <v>1416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>
      <c r="A79" s="178" t="s">
        <v>1417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>
      <c r="A80" s="178" t="s">
        <v>1418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>
      <c r="A81" s="178" t="s">
        <v>629</v>
      </c>
      <c r="B81" s="178" t="s">
        <v>1345</v>
      </c>
      <c r="C81" s="178"/>
      <c r="D81" s="178" t="s">
        <v>763</v>
      </c>
      <c r="E81" s="178" t="s">
        <v>764</v>
      </c>
      <c r="F81" s="178"/>
    </row>
    <row r="82" spans="1:6">
      <c r="A82" s="178" t="s">
        <v>1419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>
      <c r="A83" s="178" t="s">
        <v>1420</v>
      </c>
      <c r="B83" s="178" t="s">
        <v>1346</v>
      </c>
      <c r="D83" s="178" t="s">
        <v>1347</v>
      </c>
      <c r="E83" s="178" t="s">
        <v>1346</v>
      </c>
    </row>
    <row r="84" spans="1:6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>
      <c r="A85" s="178" t="s">
        <v>1421</v>
      </c>
      <c r="B85" s="178" t="s">
        <v>1334</v>
      </c>
      <c r="C85" s="178" t="s">
        <v>1335</v>
      </c>
      <c r="D85" s="178" t="s">
        <v>1336</v>
      </c>
      <c r="E85" s="178" t="s">
        <v>1337</v>
      </c>
      <c r="F85" s="178"/>
    </row>
    <row r="86" spans="1:6">
      <c r="A86" s="178" t="s">
        <v>1422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>
      <c r="A87" s="178" t="s">
        <v>1423</v>
      </c>
      <c r="B87" s="178" t="s">
        <v>1341</v>
      </c>
      <c r="C87" s="178" t="s">
        <v>1342</v>
      </c>
      <c r="D87" s="178" t="s">
        <v>1343</v>
      </c>
      <c r="E87" s="178" t="s">
        <v>1341</v>
      </c>
      <c r="F87" s="178" t="s">
        <v>771</v>
      </c>
    </row>
    <row r="88" spans="1:6">
      <c r="A88" s="178" t="s">
        <v>1424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>
      <c r="A89" s="178" t="s">
        <v>1907</v>
      </c>
      <c r="B89" s="178" t="s">
        <v>1918</v>
      </c>
      <c r="C89" s="178" t="s">
        <v>1919</v>
      </c>
      <c r="D89" s="178" t="s">
        <v>1920</v>
      </c>
      <c r="E89" s="178" t="s">
        <v>1921</v>
      </c>
      <c r="F89" s="178"/>
    </row>
  </sheetData>
  <sortState xmlns:xlrd2="http://schemas.microsoft.com/office/spreadsheetml/2017/richdata2" ref="A3:F88">
    <sortCondition ref="A3:A88"/>
  </sortState>
  <conditionalFormatting sqref="D54:E1048576 F57 D2:E51">
    <cfRule type="duplicateValues" dxfId="462" priority="8"/>
  </conditionalFormatting>
  <conditionalFormatting sqref="D52:E53">
    <cfRule type="duplicateValues" dxfId="461" priority="6"/>
  </conditionalFormatting>
  <conditionalFormatting sqref="D52:E53">
    <cfRule type="duplicateValues" dxfId="460" priority="5"/>
  </conditionalFormatting>
  <conditionalFormatting sqref="B52:B53">
    <cfRule type="duplicateValues" dxfId="459" priority="2"/>
  </conditionalFormatting>
  <conditionalFormatting sqref="B52:B53">
    <cfRule type="duplicateValues" dxfId="458" priority="1"/>
  </conditionalFormatting>
  <conditionalFormatting sqref="D3:E51">
    <cfRule type="duplicateValues" dxfId="457" priority="46"/>
  </conditionalFormatting>
  <conditionalFormatting sqref="B3:B51">
    <cfRule type="duplicateValues" dxfId="456" priority="48"/>
  </conditionalFormatting>
  <conditionalFormatting sqref="B54:B58 B3:B51">
    <cfRule type="duplicateValues" dxfId="455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 activeCell="C2" sqref="C2"/>
    </sheetView>
  </sheetViews>
  <sheetFormatPr defaultColWidth="18.28515625" defaultRowHeight="12.75"/>
  <cols>
    <col min="1" max="1" width="41.5703125" customWidth="1"/>
    <col min="2" max="3" width="38.140625" customWidth="1"/>
  </cols>
  <sheetData>
    <row r="1" spans="1:3" ht="125.1" customHeight="1">
      <c r="A1" s="212" t="s">
        <v>37</v>
      </c>
      <c r="B1" s="212" t="s">
        <v>38</v>
      </c>
      <c r="C1" s="212" t="s">
        <v>933</v>
      </c>
    </row>
    <row r="2" spans="1:3">
      <c r="A2" s="213" t="s">
        <v>886</v>
      </c>
      <c r="B2" s="213" t="s">
        <v>887</v>
      </c>
      <c r="C2" s="213" t="s">
        <v>934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2.75"/>
  <cols>
    <col min="1" max="1" width="36.85546875" customWidth="1"/>
    <col min="2" max="2" width="27.5703125" customWidth="1"/>
    <col min="3" max="6" width="12.42578125" customWidth="1"/>
    <col min="7" max="7" width="23.28515625" customWidth="1"/>
    <col min="8" max="9" width="16" customWidth="1"/>
    <col min="10" max="10" width="7" customWidth="1"/>
    <col min="11" max="12" width="9.5703125" customWidth="1"/>
  </cols>
  <sheetData>
    <row r="1" spans="1:12" s="182" customFormat="1" ht="182.25" customHeight="1">
      <c r="A1" s="181" t="s">
        <v>918</v>
      </c>
      <c r="B1" s="181" t="s">
        <v>276</v>
      </c>
      <c r="C1" s="181" t="s">
        <v>436</v>
      </c>
      <c r="D1" s="181" t="s">
        <v>919</v>
      </c>
      <c r="E1" s="181" t="s">
        <v>920</v>
      </c>
      <c r="F1" s="181" t="s">
        <v>921</v>
      </c>
      <c r="G1" s="181" t="s">
        <v>922</v>
      </c>
      <c r="H1" s="181" t="s">
        <v>923</v>
      </c>
      <c r="I1" s="181" t="s">
        <v>924</v>
      </c>
      <c r="J1" s="181" t="s">
        <v>925</v>
      </c>
      <c r="K1" s="181" t="s">
        <v>926</v>
      </c>
      <c r="L1" s="181" t="s">
        <v>927</v>
      </c>
    </row>
    <row r="2" spans="1:12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1766</v>
      </c>
      <c r="E2" t="s">
        <v>8</v>
      </c>
      <c r="F2" t="s">
        <v>932</v>
      </c>
      <c r="G2" t="s">
        <v>931</v>
      </c>
      <c r="H2" t="s">
        <v>930</v>
      </c>
      <c r="I2" t="s">
        <v>929</v>
      </c>
      <c r="J2" t="s">
        <v>928</v>
      </c>
      <c r="K2" t="b">
        <v>1</v>
      </c>
      <c r="L2" t="b">
        <v>1</v>
      </c>
    </row>
    <row r="3" spans="1:12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1766</v>
      </c>
      <c r="E3" t="s">
        <v>1767</v>
      </c>
      <c r="F3" t="s">
        <v>932</v>
      </c>
      <c r="G3" t="s">
        <v>931</v>
      </c>
      <c r="H3" t="s">
        <v>930</v>
      </c>
      <c r="I3" t="s">
        <v>929</v>
      </c>
      <c r="J3" t="s">
        <v>928</v>
      </c>
      <c r="K3" t="b">
        <v>1</v>
      </c>
      <c r="L3" t="b">
        <v>1</v>
      </c>
    </row>
    <row r="4" spans="1:12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1766</v>
      </c>
      <c r="E4" t="s">
        <v>10</v>
      </c>
      <c r="F4" t="s">
        <v>935</v>
      </c>
      <c r="G4" t="s">
        <v>936</v>
      </c>
      <c r="H4" t="s">
        <v>937</v>
      </c>
      <c r="I4" t="s">
        <v>938</v>
      </c>
      <c r="J4" t="s">
        <v>928</v>
      </c>
      <c r="K4" t="b">
        <v>1</v>
      </c>
      <c r="L4" t="b">
        <v>1</v>
      </c>
    </row>
    <row r="5" spans="1:12">
      <c r="B5" s="2"/>
    </row>
    <row r="6" spans="1:12">
      <c r="B6" s="2"/>
    </row>
    <row r="7" spans="1:12">
      <c r="B7" s="2"/>
    </row>
    <row r="8" spans="1:12">
      <c r="B8" s="2"/>
    </row>
    <row r="9" spans="1:12">
      <c r="B9" s="2"/>
    </row>
    <row r="10" spans="1:12">
      <c r="B10" s="2"/>
    </row>
    <row r="11" spans="1:12">
      <c r="B11" s="2"/>
    </row>
    <row r="12" spans="1:12">
      <c r="B12" s="2"/>
    </row>
    <row r="13" spans="1:12">
      <c r="B13" s="2"/>
    </row>
    <row r="14" spans="1:12">
      <c r="B14" s="2"/>
    </row>
    <row r="15" spans="1:12">
      <c r="B15" s="2"/>
    </row>
    <row r="16" spans="1:1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 activeCell="B34" sqref="B34"/>
    </sheetView>
  </sheetViews>
  <sheetFormatPr defaultRowHeight="12.75"/>
  <cols>
    <col min="1" max="1" width="51.7109375" customWidth="1"/>
    <col min="2" max="2" width="83.85546875" customWidth="1"/>
    <col min="3" max="3" width="32.85546875" customWidth="1"/>
    <col min="4" max="4" width="16.5703125" customWidth="1"/>
    <col min="5" max="5" width="20.140625" customWidth="1"/>
    <col min="8" max="8" width="9.140625" customWidth="1"/>
  </cols>
  <sheetData>
    <row r="1" spans="1:5" s="182" customFormat="1" ht="125.1" customHeight="1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>
      <c r="A2" s="206" t="s">
        <v>913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>
      <c r="A3" s="206" t="s">
        <v>914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>
      <c r="A4" s="206" t="s">
        <v>915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>
      <c r="A5" s="206" t="s">
        <v>1777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>
      <c r="A6" s="206" t="s">
        <v>1778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>
      <c r="A7" s="206" t="s">
        <v>1779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>
      <c r="A8" s="206" t="s">
        <v>1780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>
      <c r="A9" s="206" t="s">
        <v>1781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>
      <c r="A10" s="206" t="s">
        <v>1782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>
      <c r="A11" s="206" t="s">
        <v>1856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>
      <c r="A12" s="206" t="s">
        <v>1857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>
      <c r="A13" s="206" t="s">
        <v>1858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>
      <c r="A14" s="206" t="s">
        <v>1783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>
      <c r="A15" s="206" t="s">
        <v>1784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>
      <c r="A16" s="206" t="s">
        <v>1785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>
      <c r="A17" s="206" t="s">
        <v>1786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>
      <c r="A18" s="206" t="s">
        <v>1787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>
      <c r="A19" s="206" t="s">
        <v>1788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>
      <c r="A20" s="206" t="s">
        <v>907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>
      <c r="A21" s="206" t="s">
        <v>908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>
      <c r="A22" s="206" t="s">
        <v>909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>
      <c r="A23" s="206" t="s">
        <v>910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>
      <c r="A24" s="206" t="s">
        <v>911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>
      <c r="A25" s="206" t="s">
        <v>912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>
      <c r="A26" s="206" t="s">
        <v>1774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>
      <c r="A27" s="206" t="s">
        <v>1775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>
      <c r="A28" s="206" t="s">
        <v>1776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>
      <c r="A29" s="206" t="s">
        <v>1772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>
      <c r="A30" s="206" t="s">
        <v>1773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>
      <c r="A31" s="206" t="s">
        <v>1769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>
      <c r="A32" s="206" t="s">
        <v>1768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>
      <c r="A33" s="206" t="s">
        <v>1770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>
      <c r="A34" s="206" t="s">
        <v>1771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>
      <c r="A35" s="246" t="s">
        <v>2024</v>
      </c>
      <c r="B35" s="272" t="str">
        <f t="shared" ref="B35:B43" si="3">_xlfn.CONCAT("AD Security Group for Azure Role ", A35)</f>
        <v>AD Security Group for Azure Role az.actiongroup.critical.bi</v>
      </c>
      <c r="C35" s="246" t="str">
        <f t="shared" ref="C35:C43" si="4">A35</f>
        <v>az.actiongroup.critical.bi</v>
      </c>
      <c r="D35" s="246" t="b">
        <v>1</v>
      </c>
      <c r="E35" s="246" t="b">
        <v>1</v>
      </c>
    </row>
    <row r="36" spans="1:5">
      <c r="A36" s="246" t="s">
        <v>2026</v>
      </c>
      <c r="B36" s="272" t="str">
        <f t="shared" si="3"/>
        <v>AD Security Group for Azure Role az.actiongroup.warn.bi</v>
      </c>
      <c r="C36" s="246" t="str">
        <f t="shared" si="4"/>
        <v>az.actiongroup.warn.bi</v>
      </c>
      <c r="D36" s="246" t="b">
        <v>1</v>
      </c>
      <c r="E36" s="246" t="b">
        <v>1</v>
      </c>
    </row>
    <row r="37" spans="1:5">
      <c r="A37" s="246" t="s">
        <v>2025</v>
      </c>
      <c r="B37" s="272" t="str">
        <f t="shared" si="3"/>
        <v>AD Security Group for Azure Role az.actiongroup.info.bi</v>
      </c>
      <c r="C37" s="246" t="str">
        <f t="shared" si="4"/>
        <v>az.actiongroup.info.bi</v>
      </c>
      <c r="D37" s="246" t="b">
        <v>1</v>
      </c>
      <c r="E37" s="246" t="b">
        <v>1</v>
      </c>
    </row>
    <row r="38" spans="1:5">
      <c r="A38" s="246" t="s">
        <v>2027</v>
      </c>
      <c r="B38" s="272" t="str">
        <f t="shared" si="3"/>
        <v>AD Security Group for Azure Role az.actiongroup.critical.infra</v>
      </c>
      <c r="C38" s="246" t="str">
        <f t="shared" si="4"/>
        <v>az.actiongroup.critical.infra</v>
      </c>
      <c r="D38" s="246" t="b">
        <v>1</v>
      </c>
      <c r="E38" s="246" t="b">
        <v>1</v>
      </c>
    </row>
    <row r="39" spans="1:5">
      <c r="A39" s="246" t="s">
        <v>2028</v>
      </c>
      <c r="B39" s="272" t="str">
        <f t="shared" si="3"/>
        <v>AD Security Group for Azure Role az.actiongroup.warn.infra</v>
      </c>
      <c r="C39" s="246" t="str">
        <f t="shared" si="4"/>
        <v>az.actiongroup.warn.infra</v>
      </c>
      <c r="D39" s="246" t="b">
        <v>1</v>
      </c>
      <c r="E39" s="246" t="b">
        <v>1</v>
      </c>
    </row>
    <row r="40" spans="1:5">
      <c r="A40" s="246" t="s">
        <v>2029</v>
      </c>
      <c r="B40" s="272" t="str">
        <f t="shared" si="3"/>
        <v>AD Security Group for Azure Role az.actiongroup.info.infra</v>
      </c>
      <c r="C40" s="246" t="str">
        <f t="shared" si="4"/>
        <v>az.actiongroup.info.infra</v>
      </c>
      <c r="D40" s="246" t="b">
        <v>1</v>
      </c>
      <c r="E40" s="246" t="b">
        <v>1</v>
      </c>
    </row>
    <row r="41" spans="1:5">
      <c r="A41" s="246" t="s">
        <v>2030</v>
      </c>
      <c r="B41" s="272" t="str">
        <f t="shared" si="3"/>
        <v>AD Security Group for Azure Role az.actiongroup.critical.sec</v>
      </c>
      <c r="C41" s="246" t="str">
        <f t="shared" si="4"/>
        <v>az.actiongroup.critical.sec</v>
      </c>
      <c r="D41" s="246" t="b">
        <v>1</v>
      </c>
      <c r="E41" s="246" t="b">
        <v>1</v>
      </c>
    </row>
    <row r="42" spans="1:5">
      <c r="A42" s="246" t="s">
        <v>2031</v>
      </c>
      <c r="B42" s="272" t="str">
        <f t="shared" si="3"/>
        <v>AD Security Group for Azure Role az.actiongroup.warn.sec</v>
      </c>
      <c r="C42" s="246" t="str">
        <f t="shared" si="4"/>
        <v>az.actiongroup.warn.sec</v>
      </c>
      <c r="D42" s="246" t="b">
        <v>1</v>
      </c>
      <c r="E42" s="246" t="b">
        <v>1</v>
      </c>
    </row>
    <row r="43" spans="1:5">
      <c r="A43" s="246" t="s">
        <v>2032</v>
      </c>
      <c r="B43" s="272" t="str">
        <f t="shared" si="3"/>
        <v>AD Security Group for Azure Role az.actiongroup.info.sec</v>
      </c>
      <c r="C43" s="246" t="str">
        <f t="shared" si="4"/>
        <v>az.actiongroup.info.sec</v>
      </c>
      <c r="D43" s="246" t="b">
        <v>1</v>
      </c>
      <c r="E43" s="246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activeCell="C2" sqref="C2"/>
    </sheetView>
  </sheetViews>
  <sheetFormatPr defaultRowHeight="12.75"/>
  <cols>
    <col min="1" max="1" width="30.140625" customWidth="1"/>
    <col min="2" max="2" width="36.85546875" customWidth="1"/>
    <col min="3" max="3" width="27.5703125" customWidth="1"/>
    <col min="4" max="7" width="12.42578125" customWidth="1"/>
    <col min="8" max="8" width="9.140625" style="179"/>
  </cols>
  <sheetData>
    <row r="1" spans="1:8" s="182" customFormat="1" ht="182.25" customHeight="1">
      <c r="A1" s="181" t="s">
        <v>940</v>
      </c>
      <c r="B1" s="181" t="s">
        <v>918</v>
      </c>
      <c r="C1" s="181" t="s">
        <v>276</v>
      </c>
      <c r="D1" s="181" t="s">
        <v>1</v>
      </c>
      <c r="E1" s="181" t="s">
        <v>941</v>
      </c>
      <c r="F1" s="181" t="s">
        <v>942</v>
      </c>
      <c r="G1" s="181" t="s">
        <v>943</v>
      </c>
      <c r="H1" s="181" t="s">
        <v>899</v>
      </c>
    </row>
    <row r="2" spans="1:8">
      <c r="A2" t="s">
        <v>946</v>
      </c>
      <c r="B2" s="2" t="s">
        <v>945</v>
      </c>
      <c r="C2" s="2" t="s">
        <v>2039</v>
      </c>
      <c r="D2" t="s">
        <v>944</v>
      </c>
      <c r="E2" t="s">
        <v>873</v>
      </c>
      <c r="F2" t="s">
        <v>939</v>
      </c>
      <c r="G2" t="s">
        <v>932</v>
      </c>
    </row>
    <row r="3" spans="1:8">
      <c r="C3" s="2"/>
    </row>
    <row r="4" spans="1:8">
      <c r="C4" s="2"/>
    </row>
    <row r="5" spans="1:8">
      <c r="C5" s="2"/>
    </row>
    <row r="6" spans="1:8">
      <c r="C6" s="2"/>
    </row>
    <row r="7" spans="1:8">
      <c r="C7" s="2"/>
    </row>
    <row r="8" spans="1:8">
      <c r="C8" s="2"/>
    </row>
    <row r="9" spans="1:8">
      <c r="C9" s="2"/>
    </row>
    <row r="10" spans="1:8">
      <c r="C10" s="2"/>
    </row>
    <row r="11" spans="1:8">
      <c r="C11" s="2"/>
    </row>
    <row r="12" spans="1:8">
      <c r="C12" s="2"/>
    </row>
    <row r="13" spans="1:8">
      <c r="C13" s="2"/>
    </row>
    <row r="14" spans="1:8">
      <c r="C14" s="2"/>
    </row>
    <row r="15" spans="1:8">
      <c r="C15" s="2"/>
    </row>
    <row r="16" spans="1:8">
      <c r="C16" s="2"/>
    </row>
    <row r="17" spans="3:3">
      <c r="C17" s="2"/>
    </row>
    <row r="18" spans="3:3">
      <c r="C18" s="2"/>
    </row>
    <row r="19" spans="3:3">
      <c r="C19" s="2"/>
    </row>
    <row r="20" spans="3:3">
      <c r="C20" s="2"/>
    </row>
    <row r="21" spans="3:3">
      <c r="C21" s="2"/>
    </row>
    <row r="22" spans="3:3">
      <c r="C22" s="2"/>
    </row>
    <row r="23" spans="3:3">
      <c r="C23" s="2"/>
    </row>
    <row r="24" spans="3:3">
      <c r="C24" s="2"/>
    </row>
    <row r="25" spans="3:3">
      <c r="C25" s="2"/>
    </row>
    <row r="26" spans="3:3">
      <c r="C26" s="2"/>
    </row>
    <row r="27" spans="3:3">
      <c r="C27" s="2"/>
    </row>
    <row r="28" spans="3:3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12" sqref="D12"/>
    </sheetView>
  </sheetViews>
  <sheetFormatPr defaultColWidth="9.140625" defaultRowHeight="12.75"/>
  <cols>
    <col min="1" max="1" width="29.42578125" style="179" bestFit="1" customWidth="1"/>
    <col min="2" max="2" width="26.85546875" style="179" bestFit="1" customWidth="1"/>
    <col min="3" max="3" width="20.7109375" style="179" bestFit="1" customWidth="1"/>
    <col min="4" max="4" width="37.140625" style="179" bestFit="1" customWidth="1"/>
    <col min="5" max="5" width="31" style="179" bestFit="1" customWidth="1"/>
    <col min="6" max="7" width="19.7109375" style="179" customWidth="1"/>
    <col min="8" max="16384" width="9.140625" style="179"/>
  </cols>
  <sheetData>
    <row r="1" spans="1:8" s="189" customFormat="1" ht="125.1" customHeight="1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833</v>
      </c>
      <c r="H1" s="181" t="s">
        <v>899</v>
      </c>
    </row>
    <row r="2" spans="1:8">
      <c r="A2" s="179" t="s">
        <v>884</v>
      </c>
      <c r="B2" s="175" t="s">
        <v>792</v>
      </c>
      <c r="C2" s="179" t="s">
        <v>793</v>
      </c>
      <c r="D2" s="179" t="s">
        <v>885</v>
      </c>
      <c r="E2" s="179" t="s">
        <v>888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40625" defaultRowHeight="12.75"/>
  <cols>
    <col min="1" max="1" width="32.5703125" style="186" customWidth="1"/>
    <col min="2" max="2" width="31.28515625" style="186" customWidth="1"/>
    <col min="3" max="3" width="34.42578125" style="187" customWidth="1"/>
    <col min="4" max="16384" width="9.140625" style="186"/>
  </cols>
  <sheetData>
    <row r="1" spans="1:15" s="188" customFormat="1" ht="125.1" customHeight="1">
      <c r="A1" s="181" t="s">
        <v>881</v>
      </c>
      <c r="B1" s="181" t="s">
        <v>882</v>
      </c>
      <c r="C1" s="181" t="s">
        <v>883</v>
      </c>
      <c r="D1" s="176" t="s">
        <v>940</v>
      </c>
      <c r="E1" s="176" t="s">
        <v>1443</v>
      </c>
      <c r="F1" s="176" t="s">
        <v>1447</v>
      </c>
      <c r="G1" s="176" t="s">
        <v>1451</v>
      </c>
      <c r="H1" s="176" t="s">
        <v>1455</v>
      </c>
      <c r="I1" s="176" t="s">
        <v>1459</v>
      </c>
      <c r="J1" s="176" t="s">
        <v>1463</v>
      </c>
      <c r="K1" s="176" t="s">
        <v>1467</v>
      </c>
      <c r="L1" s="176" t="s">
        <v>8</v>
      </c>
      <c r="M1" s="176" t="s">
        <v>1866</v>
      </c>
      <c r="N1" s="176" t="s">
        <v>1474</v>
      </c>
      <c r="O1" s="176" t="s">
        <v>1477</v>
      </c>
    </row>
    <row r="2" spans="1:15" ht="15">
      <c r="A2" s="179" t="s">
        <v>1859</v>
      </c>
      <c r="B2" s="179" t="s">
        <v>1860</v>
      </c>
      <c r="C2" s="179"/>
      <c r="D2" s="222" t="s">
        <v>820</v>
      </c>
      <c r="E2" s="223" t="s">
        <v>2045</v>
      </c>
      <c r="F2" s="230" t="s">
        <v>1517</v>
      </c>
      <c r="G2" s="222" t="s">
        <v>824</v>
      </c>
      <c r="H2" s="222" t="s">
        <v>1478</v>
      </c>
      <c r="I2" s="222" t="s">
        <v>1479</v>
      </c>
      <c r="J2" s="222" t="s">
        <v>1515</v>
      </c>
      <c r="K2" s="222" t="s">
        <v>2034</v>
      </c>
      <c r="L2" s="223" t="s">
        <v>2046</v>
      </c>
      <c r="M2" s="223" t="s">
        <v>821</v>
      </c>
      <c r="N2" s="222" t="s">
        <v>1480</v>
      </c>
      <c r="O2" s="222" t="s">
        <v>1516</v>
      </c>
    </row>
    <row r="3" spans="1:15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display="approver@company.org" xr:uid="{A8FBD5C7-6813-4CCE-815D-A531F98A8351}"/>
    <hyperlink ref="L2" r:id="rId2" display="owner@company.org" xr:uid="{EA4CD3E7-CC1B-4A50-A784-BA6930ACB090}"/>
    <hyperlink ref="M2" r:id="rId3" display="requester@company.org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 activeCell="P1" sqref="P1"/>
    </sheetView>
  </sheetViews>
  <sheetFormatPr defaultColWidth="9.140625" defaultRowHeight="12.75"/>
  <cols>
    <col min="1" max="1" width="40.140625" style="186" customWidth="1"/>
    <col min="2" max="2" width="20.7109375" style="187" customWidth="1"/>
    <col min="3" max="3" width="10.42578125" style="229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6384" width="9.140625" style="186"/>
  </cols>
  <sheetData>
    <row r="1" spans="1:15" s="188" customFormat="1" ht="125.1" customHeight="1">
      <c r="A1" s="181" t="s">
        <v>1508</v>
      </c>
      <c r="B1" s="181" t="s">
        <v>896</v>
      </c>
      <c r="C1" s="176" t="s">
        <v>940</v>
      </c>
      <c r="D1" s="176" t="s">
        <v>1443</v>
      </c>
      <c r="E1" s="176" t="s">
        <v>1447</v>
      </c>
      <c r="F1" s="176" t="s">
        <v>1451</v>
      </c>
      <c r="G1" s="176" t="s">
        <v>1455</v>
      </c>
      <c r="H1" s="176" t="s">
        <v>1459</v>
      </c>
      <c r="I1" s="176" t="s">
        <v>1463</v>
      </c>
      <c r="J1" s="176" t="s">
        <v>1467</v>
      </c>
      <c r="K1" s="176" t="s">
        <v>8</v>
      </c>
      <c r="L1" s="176" t="s">
        <v>1866</v>
      </c>
      <c r="M1" s="176" t="s">
        <v>1474</v>
      </c>
      <c r="N1" s="176" t="s">
        <v>1477</v>
      </c>
      <c r="O1" s="175"/>
    </row>
    <row r="2" spans="1:15" ht="15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B2" s="179" t="str">
        <f t="shared" ref="B2:B7" si="0">PrimaryRegionTag</f>
        <v>eus</v>
      </c>
      <c r="C2" s="222" t="s">
        <v>820</v>
      </c>
      <c r="D2" s="223" t="s">
        <v>2045</v>
      </c>
      <c r="E2" s="230" t="s">
        <v>1517</v>
      </c>
      <c r="F2" s="222" t="s">
        <v>824</v>
      </c>
      <c r="G2" s="222" t="s">
        <v>1478</v>
      </c>
      <c r="H2" s="222" t="s">
        <v>1479</v>
      </c>
      <c r="I2" s="222" t="s">
        <v>1515</v>
      </c>
      <c r="J2" s="222" t="s">
        <v>2034</v>
      </c>
      <c r="K2" s="223" t="s">
        <v>2046</v>
      </c>
      <c r="L2" s="223" t="s">
        <v>821</v>
      </c>
      <c r="M2" s="222" t="s">
        <v>1480</v>
      </c>
      <c r="N2" s="222" t="s">
        <v>1516</v>
      </c>
    </row>
    <row r="3" spans="1:15" ht="15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rg-qqq-mgmt-prd-eus</v>
      </c>
      <c r="B3" s="179" t="str">
        <f t="shared" si="0"/>
        <v>eus</v>
      </c>
      <c r="C3" s="222" t="s">
        <v>1915</v>
      </c>
      <c r="D3" s="223" t="s">
        <v>2045</v>
      </c>
      <c r="E3" s="230" t="s">
        <v>1517</v>
      </c>
      <c r="F3" s="222" t="s">
        <v>824</v>
      </c>
      <c r="G3" s="222" t="s">
        <v>1481</v>
      </c>
      <c r="H3" s="222" t="s">
        <v>1479</v>
      </c>
      <c r="I3" s="222" t="s">
        <v>1515</v>
      </c>
      <c r="J3" s="222" t="s">
        <v>2034</v>
      </c>
      <c r="K3" s="223" t="s">
        <v>2046</v>
      </c>
      <c r="L3" s="223" t="s">
        <v>821</v>
      </c>
      <c r="M3" s="222" t="s">
        <v>1480</v>
      </c>
      <c r="N3" s="222" t="s">
        <v>1516</v>
      </c>
    </row>
    <row r="4" spans="1:15" ht="15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rg-qqq-network-prd-eus</v>
      </c>
      <c r="B4" s="179" t="str">
        <f t="shared" si="0"/>
        <v>eus</v>
      </c>
      <c r="C4" s="222" t="s">
        <v>1926</v>
      </c>
      <c r="D4" s="223" t="s">
        <v>2045</v>
      </c>
      <c r="E4" s="230" t="s">
        <v>1517</v>
      </c>
      <c r="F4" s="222" t="s">
        <v>824</v>
      </c>
      <c r="G4" s="222" t="s">
        <v>1482</v>
      </c>
      <c r="H4" s="222" t="s">
        <v>1479</v>
      </c>
      <c r="I4" s="222" t="s">
        <v>1515</v>
      </c>
      <c r="J4" s="222" t="s">
        <v>2034</v>
      </c>
      <c r="K4" s="223" t="s">
        <v>2046</v>
      </c>
      <c r="L4" s="223" t="s">
        <v>821</v>
      </c>
      <c r="M4" s="222" t="s">
        <v>1480</v>
      </c>
      <c r="N4" s="222" t="s">
        <v>1516</v>
      </c>
    </row>
    <row r="5" spans="1:15" ht="15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rg-qqq-shared-prd-eus</v>
      </c>
      <c r="B5" s="179" t="str">
        <f t="shared" si="0"/>
        <v>eus</v>
      </c>
      <c r="C5" s="222" t="s">
        <v>1502</v>
      </c>
      <c r="D5" s="223" t="s">
        <v>2045</v>
      </c>
      <c r="E5" s="230" t="s">
        <v>1517</v>
      </c>
      <c r="F5" s="222" t="s">
        <v>824</v>
      </c>
      <c r="G5" s="222" t="s">
        <v>1482</v>
      </c>
      <c r="H5" s="222" t="s">
        <v>1479</v>
      </c>
      <c r="I5" s="222" t="s">
        <v>1515</v>
      </c>
      <c r="J5" s="222" t="s">
        <v>2034</v>
      </c>
      <c r="K5" s="223" t="s">
        <v>2046</v>
      </c>
      <c r="L5" s="223" t="s">
        <v>821</v>
      </c>
      <c r="M5" s="222" t="s">
        <v>1480</v>
      </c>
      <c r="N5" s="222" t="s">
        <v>1516</v>
      </c>
    </row>
    <row r="6" spans="1:15" ht="15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rg-qqq-onprem-prd-eus</v>
      </c>
      <c r="B6" s="179" t="str">
        <f t="shared" si="0"/>
        <v>eus</v>
      </c>
      <c r="C6" s="222" t="s">
        <v>1927</v>
      </c>
      <c r="D6" s="223" t="s">
        <v>2045</v>
      </c>
      <c r="E6" s="230" t="s">
        <v>1517</v>
      </c>
      <c r="F6" s="222" t="s">
        <v>824</v>
      </c>
      <c r="G6" s="222" t="s">
        <v>1482</v>
      </c>
      <c r="H6" s="222" t="s">
        <v>1479</v>
      </c>
      <c r="I6" s="222" t="s">
        <v>1515</v>
      </c>
      <c r="J6" s="222" t="s">
        <v>2034</v>
      </c>
      <c r="K6" s="223" t="s">
        <v>2046</v>
      </c>
      <c r="L6" s="223" t="s">
        <v>821</v>
      </c>
      <c r="M6" s="222" t="s">
        <v>1480</v>
      </c>
      <c r="N6" s="222" t="s">
        <v>1516</v>
      </c>
    </row>
    <row r="7" spans="1:15" ht="15">
      <c r="A7" s="186" t="s">
        <v>1922</v>
      </c>
      <c r="B7" s="179" t="str">
        <f t="shared" si="0"/>
        <v>eus</v>
      </c>
      <c r="C7" s="222" t="s">
        <v>820</v>
      </c>
      <c r="D7" s="223" t="s">
        <v>2045</v>
      </c>
      <c r="E7" s="230" t="s">
        <v>1517</v>
      </c>
      <c r="F7" s="222" t="s">
        <v>824</v>
      </c>
      <c r="G7" s="222" t="s">
        <v>1923</v>
      </c>
      <c r="H7" s="222" t="s">
        <v>1479</v>
      </c>
      <c r="I7" s="222" t="s">
        <v>1924</v>
      </c>
      <c r="J7" s="222" t="s">
        <v>2034</v>
      </c>
      <c r="K7" s="223" t="s">
        <v>2046</v>
      </c>
      <c r="L7" s="223" t="s">
        <v>821</v>
      </c>
      <c r="M7" s="222" t="s">
        <v>1480</v>
      </c>
      <c r="N7" s="222" t="s">
        <v>1925</v>
      </c>
    </row>
  </sheetData>
  <phoneticPr fontId="17" type="noConversion"/>
  <dataValidations count="4"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display="approver@company.org" xr:uid="{74101AE1-B7EA-4062-B0AE-8910FB32B29C}"/>
    <hyperlink ref="K2" r:id="rId2" display="owner@company.org" xr:uid="{F5413217-1A8D-47B6-AE3E-F6E14BB3E108}"/>
    <hyperlink ref="L2" r:id="rId3" display="requester@company.org" xr:uid="{03072E3A-2A7C-4D2D-9330-E666C24BB5EC}"/>
    <hyperlink ref="D3" r:id="rId4" display="approver@company.org" xr:uid="{9974118C-6751-40E3-A270-0FE7338B4755}"/>
    <hyperlink ref="K3" r:id="rId5" display="owner@company.org" xr:uid="{ECA95AF5-2FFC-4561-B86D-8D444332830A}"/>
    <hyperlink ref="L3" r:id="rId6" display="requester@company.org" xr:uid="{585729E0-B630-4072-B38D-6B346B3120BE}"/>
    <hyperlink ref="D4" r:id="rId7" display="approver@company.org" xr:uid="{6EFB4D5A-D7AB-493B-A09B-FD3999ED868C}"/>
    <hyperlink ref="K4" r:id="rId8" display="owner@company.org" xr:uid="{999BDC9F-07FF-4C2E-A4B2-E23D8F676413}"/>
    <hyperlink ref="L4" r:id="rId9" display="requester@company.org" xr:uid="{97CD3D27-10EF-4653-926A-7B30C73A0F64}"/>
    <hyperlink ref="D5" r:id="rId10" display="approver@company.org" xr:uid="{46C0586D-D256-4457-8FAA-DED4115A9950}"/>
    <hyperlink ref="K5" r:id="rId11" display="owner@company.org" xr:uid="{494EC251-2B59-452B-A3ED-5FAFEB62D736}"/>
    <hyperlink ref="L5" r:id="rId12" display="requester@company.org" xr:uid="{C309AAA1-BD8E-416E-9AF5-978B990F25BC}"/>
    <hyperlink ref="D6" r:id="rId13" display="approver@company.org" xr:uid="{4000BB2C-9C2B-4094-A715-2DA687CA41D8}"/>
    <hyperlink ref="K6" r:id="rId14" display="owner@company.org" xr:uid="{6C6B0BBA-9C6D-478F-8A8F-0C4EA0AE674A}"/>
    <hyperlink ref="L6" r:id="rId15" display="requester@company.org" xr:uid="{85319C64-2DF5-4D76-BA3C-9EF961538DE6}"/>
    <hyperlink ref="D7" r:id="rId16" display="approver@company.org" xr:uid="{DDCC6999-BE8B-4F9C-9915-04D08EF55DB7}"/>
    <hyperlink ref="K7" r:id="rId17" display="owner@company.org" xr:uid="{FDE9BA53-C86C-465B-A18B-91878970F07C}"/>
    <hyperlink ref="L7" r:id="rId18" display="requester@company.org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J31"/>
  <sheetViews>
    <sheetView workbookViewId="0">
      <pane ySplit="1" topLeftCell="A2" activePane="bottomLeft" state="frozen"/>
      <selection pane="bottomLeft" activeCell="C2" sqref="C2"/>
    </sheetView>
  </sheetViews>
  <sheetFormatPr defaultRowHeight="12.75"/>
  <cols>
    <col min="1" max="1" width="39.140625" customWidth="1"/>
    <col min="2" max="2" width="33.5703125" customWidth="1"/>
    <col min="3" max="3" width="30" customWidth="1"/>
    <col min="4" max="4" width="20.85546875" customWidth="1"/>
    <col min="10" max="10" width="18.140625" customWidth="1"/>
  </cols>
  <sheetData>
    <row r="1" spans="1:10" ht="125.1" customHeight="1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10">
      <c r="A2" t="s">
        <v>913</v>
      </c>
      <c r="B2" t="s">
        <v>8</v>
      </c>
      <c r="C2" t="str">
        <f t="shared" ref="C2:C31" si="0"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10">
      <c r="A3" t="s">
        <v>914</v>
      </c>
      <c r="B3" t="s">
        <v>9</v>
      </c>
      <c r="C3" t="str">
        <f t="shared" si="0"/>
        <v/>
      </c>
      <c r="D3" t="s">
        <v>219</v>
      </c>
    </row>
    <row r="4" spans="1:10">
      <c r="A4" t="s">
        <v>915</v>
      </c>
      <c r="B4" t="s">
        <v>10</v>
      </c>
      <c r="C4" t="str">
        <f t="shared" si="0"/>
        <v/>
      </c>
      <c r="D4" t="s">
        <v>219</v>
      </c>
    </row>
    <row r="5" spans="1:10">
      <c r="A5" t="s">
        <v>1777</v>
      </c>
      <c r="B5" t="s">
        <v>8</v>
      </c>
      <c r="C5" t="str">
        <f t="shared" si="0"/>
        <v>rg-qqq-adap-prd-eus</v>
      </c>
      <c r="D5" t="s">
        <v>220</v>
      </c>
      <c r="J5" t="str">
        <f>SUBSTITUTE(SUBSTITUTE(SUBSTITUTE((RIGHT(A5,LEN(A5)-6)),".owner",""),".contributor",""),".reader","")</f>
        <v>adap</v>
      </c>
    </row>
    <row r="6" spans="1:10">
      <c r="A6" t="s">
        <v>1778</v>
      </c>
      <c r="B6" t="s">
        <v>9</v>
      </c>
      <c r="C6" t="str">
        <f t="shared" si="0"/>
        <v>rg-qqq-adap-prd-eus</v>
      </c>
      <c r="D6" t="s">
        <v>220</v>
      </c>
    </row>
    <row r="7" spans="1:10">
      <c r="A7" t="s">
        <v>1779</v>
      </c>
      <c r="B7" t="s">
        <v>10</v>
      </c>
      <c r="C7" t="str">
        <f t="shared" si="0"/>
        <v>rg-qqq-adap-prd-eus</v>
      </c>
      <c r="D7" t="s">
        <v>220</v>
      </c>
    </row>
    <row r="8" spans="1:10">
      <c r="A8" t="s">
        <v>1780</v>
      </c>
      <c r="B8" t="s">
        <v>8</v>
      </c>
      <c r="C8" t="str">
        <f t="shared" si="0"/>
        <v>rg-qqq-mgmt-prd-eus</v>
      </c>
      <c r="D8" t="s">
        <v>220</v>
      </c>
    </row>
    <row r="9" spans="1:10">
      <c r="A9" t="s">
        <v>1781</v>
      </c>
      <c r="B9" t="s">
        <v>9</v>
      </c>
      <c r="C9" t="str">
        <f t="shared" si="0"/>
        <v>rg-qqq-mgmt-prd-eus</v>
      </c>
      <c r="D9" t="s">
        <v>220</v>
      </c>
    </row>
    <row r="10" spans="1:10">
      <c r="A10" t="s">
        <v>1782</v>
      </c>
      <c r="B10" t="s">
        <v>10</v>
      </c>
      <c r="C10" t="str">
        <f t="shared" si="0"/>
        <v>rg-qqq-mgmt-prd-eus</v>
      </c>
      <c r="D10" t="s">
        <v>220</v>
      </c>
    </row>
    <row r="11" spans="1:10">
      <c r="A11" t="s">
        <v>1856</v>
      </c>
      <c r="B11" t="s">
        <v>8</v>
      </c>
      <c r="C11" t="str">
        <f t="shared" si="0"/>
        <v>rg-qqq-shared-prd-eus</v>
      </c>
      <c r="D11" t="s">
        <v>220</v>
      </c>
    </row>
    <row r="12" spans="1:10">
      <c r="A12" t="s">
        <v>1857</v>
      </c>
      <c r="B12" t="s">
        <v>9</v>
      </c>
      <c r="C12" t="str">
        <f t="shared" si="0"/>
        <v>rg-qqq-shared-prd-eus</v>
      </c>
      <c r="D12" t="s">
        <v>220</v>
      </c>
    </row>
    <row r="13" spans="1:10">
      <c r="A13" t="s">
        <v>1858</v>
      </c>
      <c r="B13" t="s">
        <v>10</v>
      </c>
      <c r="C13" t="str">
        <f t="shared" si="0"/>
        <v>rg-qqq-shared-prd-eus</v>
      </c>
      <c r="D13" t="s">
        <v>220</v>
      </c>
    </row>
    <row r="14" spans="1:10">
      <c r="A14" t="s">
        <v>1786</v>
      </c>
      <c r="B14" t="s">
        <v>8</v>
      </c>
      <c r="C14" t="str">
        <f t="shared" si="0"/>
        <v>rg-qqq-network-prd-eus</v>
      </c>
      <c r="D14" t="s">
        <v>220</v>
      </c>
    </row>
    <row r="15" spans="1:10">
      <c r="A15" t="s">
        <v>1787</v>
      </c>
      <c r="B15" t="s">
        <v>9</v>
      </c>
      <c r="C15" t="str">
        <f t="shared" si="0"/>
        <v>rg-qqq-network-prd-eus</v>
      </c>
      <c r="D15" t="s">
        <v>220</v>
      </c>
    </row>
    <row r="16" spans="1:10">
      <c r="A16" t="s">
        <v>1788</v>
      </c>
      <c r="B16" t="s">
        <v>10</v>
      </c>
      <c r="C16" t="str">
        <f t="shared" si="0"/>
        <v>rg-qqq-network-prd-eus</v>
      </c>
      <c r="D16" t="s">
        <v>220</v>
      </c>
      <c r="G16" t="s">
        <v>2033</v>
      </c>
    </row>
    <row r="17" spans="1:4">
      <c r="A17" t="s">
        <v>907</v>
      </c>
      <c r="B17" t="s">
        <v>1790</v>
      </c>
      <c r="C17" t="str">
        <f t="shared" si="0"/>
        <v/>
      </c>
      <c r="D17" t="s">
        <v>219</v>
      </c>
    </row>
    <row r="18" spans="1:4">
      <c r="A18" t="s">
        <v>908</v>
      </c>
      <c r="B18" t="s">
        <v>1791</v>
      </c>
      <c r="C18" t="str">
        <f t="shared" si="0"/>
        <v/>
      </c>
      <c r="D18" t="s">
        <v>219</v>
      </c>
    </row>
    <row r="19" spans="1:4">
      <c r="A19" t="s">
        <v>909</v>
      </c>
      <c r="B19" t="s">
        <v>1793</v>
      </c>
      <c r="C19" t="str">
        <f t="shared" si="0"/>
        <v/>
      </c>
      <c r="D19" t="s">
        <v>219</v>
      </c>
    </row>
    <row r="20" spans="1:4">
      <c r="A20" t="s">
        <v>910</v>
      </c>
      <c r="B20" t="s">
        <v>1797</v>
      </c>
      <c r="C20" t="str">
        <f t="shared" si="0"/>
        <v/>
      </c>
      <c r="D20" t="s">
        <v>219</v>
      </c>
    </row>
    <row r="21" spans="1:4">
      <c r="A21" t="s">
        <v>911</v>
      </c>
      <c r="B21" t="s">
        <v>1799</v>
      </c>
      <c r="C21" t="str">
        <f t="shared" si="0"/>
        <v/>
      </c>
      <c r="D21" t="s">
        <v>219</v>
      </c>
    </row>
    <row r="22" spans="1:4">
      <c r="A22" t="s">
        <v>912</v>
      </c>
      <c r="B22" t="s">
        <v>1801</v>
      </c>
      <c r="C22" t="str">
        <f t="shared" si="0"/>
        <v/>
      </c>
      <c r="D22" t="s">
        <v>219</v>
      </c>
    </row>
    <row r="23" spans="1:4">
      <c r="A23" t="s">
        <v>1774</v>
      </c>
      <c r="B23" t="s">
        <v>1865</v>
      </c>
      <c r="C23" t="str">
        <f t="shared" si="0"/>
        <v/>
      </c>
      <c r="D23" t="s">
        <v>219</v>
      </c>
    </row>
    <row r="24" spans="1:4">
      <c r="A24" t="s">
        <v>1775</v>
      </c>
      <c r="B24" t="s">
        <v>1804</v>
      </c>
      <c r="C24" t="str">
        <f t="shared" si="0"/>
        <v/>
      </c>
      <c r="D24" t="s">
        <v>219</v>
      </c>
    </row>
    <row r="25" spans="1:4">
      <c r="A25" t="s">
        <v>1776</v>
      </c>
      <c r="B25" t="s">
        <v>1806</v>
      </c>
      <c r="C25" t="str">
        <f t="shared" si="0"/>
        <v/>
      </c>
      <c r="D25" t="s">
        <v>219</v>
      </c>
    </row>
    <row r="26" spans="1:4">
      <c r="A26" t="s">
        <v>1772</v>
      </c>
      <c r="B26" t="s">
        <v>1808</v>
      </c>
      <c r="C26" t="str">
        <f t="shared" si="0"/>
        <v/>
      </c>
      <c r="D26" t="s">
        <v>219</v>
      </c>
    </row>
    <row r="27" spans="1:4">
      <c r="A27" t="s">
        <v>1773</v>
      </c>
      <c r="B27" t="s">
        <v>1810</v>
      </c>
      <c r="C27" t="str">
        <f t="shared" si="0"/>
        <v/>
      </c>
      <c r="D27" t="s">
        <v>219</v>
      </c>
    </row>
    <row r="28" spans="1:4">
      <c r="A28" t="s">
        <v>1769</v>
      </c>
      <c r="B28" t="s">
        <v>1795</v>
      </c>
      <c r="C28" t="str">
        <f t="shared" si="0"/>
        <v/>
      </c>
      <c r="D28" t="s">
        <v>219</v>
      </c>
    </row>
    <row r="29" spans="1:4">
      <c r="A29" t="s">
        <v>1768</v>
      </c>
      <c r="B29" t="s">
        <v>1803</v>
      </c>
      <c r="C29" t="str">
        <f t="shared" si="0"/>
        <v/>
      </c>
      <c r="D29" t="s">
        <v>219</v>
      </c>
    </row>
    <row r="30" spans="1:4">
      <c r="A30" t="s">
        <v>1770</v>
      </c>
      <c r="B30" t="s">
        <v>1863</v>
      </c>
      <c r="C30" t="str">
        <f t="shared" si="0"/>
        <v/>
      </c>
      <c r="D30" t="s">
        <v>219</v>
      </c>
    </row>
    <row r="31" spans="1:4">
      <c r="A31" t="s">
        <v>1771</v>
      </c>
      <c r="B31" t="s">
        <v>1861</v>
      </c>
      <c r="C31" t="str">
        <f t="shared" si="0"/>
        <v/>
      </c>
      <c r="D31" t="s">
        <v>219</v>
      </c>
    </row>
  </sheetData>
  <dataValidations disablePrompts="1"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topLeftCell="A50" zoomScale="90" zoomScaleNormal="90" workbookViewId="0">
      <selection activeCell="A84" sqref="A84"/>
    </sheetView>
  </sheetViews>
  <sheetFormatPr defaultRowHeight="12.75"/>
  <cols>
    <col min="1" max="1" width="53.42578125" style="84" bestFit="1" customWidth="1"/>
    <col min="2" max="2" width="10" style="233" customWidth="1"/>
    <col min="3" max="3" width="77.85546875" style="84" bestFit="1" customWidth="1"/>
    <col min="4" max="7" width="3.28515625" bestFit="1" customWidth="1"/>
  </cols>
  <sheetData>
    <row r="1" spans="1:7" ht="79.5">
      <c r="A1" s="232" t="s">
        <v>1518</v>
      </c>
      <c r="B1" s="234" t="s">
        <v>1789</v>
      </c>
      <c r="C1" s="232" t="s">
        <v>6</v>
      </c>
      <c r="D1" s="231" t="s">
        <v>1519</v>
      </c>
      <c r="E1" s="231" t="s">
        <v>1521</v>
      </c>
      <c r="F1" s="231" t="s">
        <v>1520</v>
      </c>
      <c r="G1" s="231" t="s">
        <v>1522</v>
      </c>
    </row>
    <row r="2" spans="1:7">
      <c r="A2" s="84" t="s">
        <v>1790</v>
      </c>
      <c r="B2" s="233" t="b">
        <v>1</v>
      </c>
      <c r="C2" s="84" t="s">
        <v>1523</v>
      </c>
    </row>
    <row r="3" spans="1:7" ht="25.5">
      <c r="A3" s="84" t="s">
        <v>1791</v>
      </c>
      <c r="B3" s="233" t="b">
        <v>1</v>
      </c>
      <c r="C3" s="84" t="s">
        <v>1792</v>
      </c>
    </row>
    <row r="4" spans="1:7">
      <c r="A4" s="84" t="s">
        <v>1793</v>
      </c>
      <c r="B4" s="233" t="b">
        <v>1</v>
      </c>
      <c r="C4" s="84" t="s">
        <v>1794</v>
      </c>
    </row>
    <row r="5" spans="1:7">
      <c r="A5" s="84" t="s">
        <v>1795</v>
      </c>
      <c r="B5" s="233" t="b">
        <v>1</v>
      </c>
      <c r="C5" s="84" t="s">
        <v>1796</v>
      </c>
    </row>
    <row r="6" spans="1:7" ht="25.5">
      <c r="A6" s="84" t="s">
        <v>1797</v>
      </c>
      <c r="B6" s="233" t="b">
        <v>1</v>
      </c>
      <c r="C6" s="84" t="s">
        <v>1798</v>
      </c>
    </row>
    <row r="7" spans="1:7">
      <c r="A7" s="84" t="s">
        <v>1799</v>
      </c>
      <c r="B7" s="233" t="b">
        <v>1</v>
      </c>
      <c r="C7" s="84" t="s">
        <v>1800</v>
      </c>
    </row>
    <row r="8" spans="1:7">
      <c r="A8" s="84" t="s">
        <v>1801</v>
      </c>
      <c r="B8" s="233" t="b">
        <v>1</v>
      </c>
      <c r="C8" s="84" t="s">
        <v>1802</v>
      </c>
    </row>
    <row r="9" spans="1:7">
      <c r="A9" s="84" t="s">
        <v>1803</v>
      </c>
      <c r="B9" s="233" t="b">
        <v>1</v>
      </c>
      <c r="C9" s="84" t="s">
        <v>1802</v>
      </c>
    </row>
    <row r="10" spans="1:7">
      <c r="A10" s="84" t="s">
        <v>1865</v>
      </c>
      <c r="B10" s="233" t="b">
        <v>1</v>
      </c>
      <c r="C10" s="84" t="s">
        <v>1805</v>
      </c>
    </row>
    <row r="11" spans="1:7">
      <c r="A11" s="84" t="s">
        <v>1804</v>
      </c>
      <c r="B11" s="233" t="b">
        <v>1</v>
      </c>
      <c r="C11" s="84" t="s">
        <v>1805</v>
      </c>
    </row>
    <row r="12" spans="1:7">
      <c r="A12" s="84" t="s">
        <v>1806</v>
      </c>
      <c r="B12" s="233" t="b">
        <v>1</v>
      </c>
      <c r="C12" s="84" t="s">
        <v>1807</v>
      </c>
    </row>
    <row r="13" spans="1:7" ht="25.5">
      <c r="A13" s="84" t="s">
        <v>1808</v>
      </c>
      <c r="B13" s="233" t="b">
        <v>1</v>
      </c>
      <c r="C13" s="84" t="s">
        <v>1809</v>
      </c>
    </row>
    <row r="14" spans="1:7">
      <c r="A14" s="84" t="s">
        <v>1863</v>
      </c>
      <c r="B14" s="233" t="b">
        <v>1</v>
      </c>
      <c r="C14" s="84" t="s">
        <v>1864</v>
      </c>
    </row>
    <row r="15" spans="1:7" ht="25.5">
      <c r="A15" s="84" t="s">
        <v>1810</v>
      </c>
      <c r="B15" s="233" t="b">
        <v>1</v>
      </c>
      <c r="C15" s="84" t="s">
        <v>1809</v>
      </c>
    </row>
    <row r="16" spans="1:7">
      <c r="A16" s="84" t="s">
        <v>1861</v>
      </c>
      <c r="B16" s="233" t="b">
        <v>1</v>
      </c>
      <c r="C16" s="84" t="s">
        <v>1862</v>
      </c>
    </row>
    <row r="17" spans="1:3">
      <c r="A17" s="84" t="s">
        <v>1532</v>
      </c>
      <c r="B17" s="233" t="b">
        <v>0</v>
      </c>
      <c r="C17" s="84" t="s">
        <v>1533</v>
      </c>
    </row>
    <row r="18" spans="1:3">
      <c r="A18" s="84" t="s">
        <v>1530</v>
      </c>
      <c r="B18" s="233" t="b">
        <v>0</v>
      </c>
      <c r="C18" s="84" t="s">
        <v>1531</v>
      </c>
    </row>
    <row r="19" spans="1:3">
      <c r="A19" s="84" t="s">
        <v>1528</v>
      </c>
      <c r="B19" s="233" t="b">
        <v>0</v>
      </c>
      <c r="C19" s="84" t="s">
        <v>1529</v>
      </c>
    </row>
    <row r="20" spans="1:3">
      <c r="A20" s="84" t="s">
        <v>1524</v>
      </c>
      <c r="B20" s="233" t="b">
        <v>0</v>
      </c>
      <c r="C20" s="84" t="s">
        <v>1525</v>
      </c>
    </row>
    <row r="21" spans="1:3">
      <c r="A21" s="84" t="s">
        <v>1534</v>
      </c>
      <c r="B21" s="233" t="b">
        <v>0</v>
      </c>
      <c r="C21" s="84" t="s">
        <v>1535</v>
      </c>
    </row>
    <row r="22" spans="1:3">
      <c r="A22" s="84" t="s">
        <v>1536</v>
      </c>
      <c r="B22" s="233" t="b">
        <v>0</v>
      </c>
      <c r="C22" s="84" t="s">
        <v>1537</v>
      </c>
    </row>
    <row r="23" spans="1:3">
      <c r="A23" s="84" t="s">
        <v>1526</v>
      </c>
      <c r="B23" s="233" t="b">
        <v>0</v>
      </c>
      <c r="C23" s="84" t="s">
        <v>1527</v>
      </c>
    </row>
    <row r="24" spans="1:3">
      <c r="A24" s="84" t="s">
        <v>1538</v>
      </c>
      <c r="B24" s="233" t="b">
        <v>0</v>
      </c>
      <c r="C24" s="84" t="s">
        <v>1539</v>
      </c>
    </row>
    <row r="25" spans="1:3">
      <c r="A25" s="84" t="s">
        <v>1540</v>
      </c>
      <c r="B25" s="233" t="b">
        <v>0</v>
      </c>
      <c r="C25" s="84" t="s">
        <v>1541</v>
      </c>
    </row>
    <row r="26" spans="1:3">
      <c r="A26" s="84" t="s">
        <v>1724</v>
      </c>
      <c r="B26" s="233" t="b">
        <v>0</v>
      </c>
      <c r="C26" s="84" t="s">
        <v>1725</v>
      </c>
    </row>
    <row r="27" spans="1:3">
      <c r="A27" s="84" t="s">
        <v>1726</v>
      </c>
      <c r="B27" s="233" t="b">
        <v>0</v>
      </c>
      <c r="C27" s="84" t="s">
        <v>1727</v>
      </c>
    </row>
    <row r="28" spans="1:3">
      <c r="A28" s="84" t="s">
        <v>1542</v>
      </c>
      <c r="B28" s="233" t="b">
        <v>0</v>
      </c>
      <c r="C28" s="84" t="s">
        <v>1543</v>
      </c>
    </row>
    <row r="29" spans="1:3" ht="25.5">
      <c r="A29" s="84" t="s">
        <v>1544</v>
      </c>
      <c r="B29" s="233" t="b">
        <v>0</v>
      </c>
      <c r="C29" s="84" t="s">
        <v>1734</v>
      </c>
    </row>
    <row r="30" spans="1:3">
      <c r="A30" s="84" t="s">
        <v>1683</v>
      </c>
      <c r="B30" s="233" t="b">
        <v>0</v>
      </c>
      <c r="C30" s="84" t="s">
        <v>1684</v>
      </c>
    </row>
    <row r="31" spans="1:3">
      <c r="A31" s="84" t="s">
        <v>1545</v>
      </c>
      <c r="B31" s="233" t="b">
        <v>0</v>
      </c>
      <c r="C31" s="84" t="s">
        <v>1546</v>
      </c>
    </row>
    <row r="32" spans="1:3">
      <c r="A32" s="84" t="s">
        <v>1547</v>
      </c>
      <c r="B32" s="233" t="b">
        <v>0</v>
      </c>
      <c r="C32" s="84" t="s">
        <v>1548</v>
      </c>
    </row>
    <row r="33" spans="1:3">
      <c r="A33" s="84" t="s">
        <v>1550</v>
      </c>
      <c r="B33" s="233" t="b">
        <v>0</v>
      </c>
      <c r="C33" s="84" t="s">
        <v>1736</v>
      </c>
    </row>
    <row r="34" spans="1:3">
      <c r="A34" s="84" t="s">
        <v>1549</v>
      </c>
      <c r="B34" s="233" t="b">
        <v>0</v>
      </c>
      <c r="C34" s="84" t="s">
        <v>1735</v>
      </c>
    </row>
    <row r="35" spans="1:3">
      <c r="A35" s="84" t="s">
        <v>1551</v>
      </c>
      <c r="B35" s="233" t="b">
        <v>0</v>
      </c>
      <c r="C35" s="84" t="s">
        <v>1552</v>
      </c>
    </row>
    <row r="36" spans="1:3">
      <c r="A36" s="84" t="s">
        <v>1553</v>
      </c>
      <c r="B36" s="233" t="b">
        <v>0</v>
      </c>
      <c r="C36" s="84" t="s">
        <v>1554</v>
      </c>
    </row>
    <row r="37" spans="1:3">
      <c r="A37" s="84" t="s">
        <v>1720</v>
      </c>
      <c r="B37" s="233" t="b">
        <v>0</v>
      </c>
      <c r="C37" s="84" t="s">
        <v>1721</v>
      </c>
    </row>
    <row r="38" spans="1:3">
      <c r="A38" s="84" t="s">
        <v>1722</v>
      </c>
      <c r="B38" s="233" t="b">
        <v>0</v>
      </c>
      <c r="C38" s="84" t="s">
        <v>1765</v>
      </c>
    </row>
    <row r="39" spans="1:3">
      <c r="A39" s="84" t="s">
        <v>1681</v>
      </c>
      <c r="B39" s="233" t="b">
        <v>0</v>
      </c>
      <c r="C39" s="84" t="s">
        <v>1682</v>
      </c>
    </row>
    <row r="40" spans="1:3">
      <c r="A40" s="84" t="s">
        <v>1690</v>
      </c>
      <c r="B40" s="233" t="b">
        <v>0</v>
      </c>
      <c r="C40" s="84" t="s">
        <v>1691</v>
      </c>
    </row>
    <row r="41" spans="1:3">
      <c r="A41" s="84" t="s">
        <v>1692</v>
      </c>
      <c r="B41" s="233" t="b">
        <v>0</v>
      </c>
      <c r="C41" s="84" t="s">
        <v>1693</v>
      </c>
    </row>
    <row r="42" spans="1:3">
      <c r="A42" s="84" t="s">
        <v>1555</v>
      </c>
      <c r="B42" s="233" t="b">
        <v>0</v>
      </c>
      <c r="C42" s="84" t="s">
        <v>1556</v>
      </c>
    </row>
    <row r="43" spans="1:3">
      <c r="A43" s="84" t="s">
        <v>1557</v>
      </c>
      <c r="B43" s="233" t="b">
        <v>0</v>
      </c>
      <c r="C43" s="84" t="s">
        <v>1558</v>
      </c>
    </row>
    <row r="44" spans="1:3">
      <c r="A44" s="84" t="s">
        <v>1559</v>
      </c>
      <c r="B44" s="233" t="b">
        <v>0</v>
      </c>
      <c r="C44" s="84" t="s">
        <v>1737</v>
      </c>
    </row>
    <row r="45" spans="1:3">
      <c r="A45" s="84" t="s">
        <v>1708</v>
      </c>
      <c r="B45" s="233" t="b">
        <v>0</v>
      </c>
      <c r="C45" s="84" t="s">
        <v>1708</v>
      </c>
    </row>
    <row r="46" spans="1:3">
      <c r="A46" s="84" t="s">
        <v>1710</v>
      </c>
      <c r="B46" s="233" t="b">
        <v>0</v>
      </c>
      <c r="C46" s="84" t="s">
        <v>1710</v>
      </c>
    </row>
    <row r="47" spans="1:3">
      <c r="A47" s="84" t="s">
        <v>1709</v>
      </c>
      <c r="B47" s="233" t="b">
        <v>0</v>
      </c>
      <c r="C47" s="84" t="s">
        <v>1709</v>
      </c>
    </row>
    <row r="48" spans="1:3">
      <c r="A48" s="84" t="s">
        <v>1679</v>
      </c>
      <c r="B48" s="233" t="b">
        <v>0</v>
      </c>
      <c r="C48" s="84" t="s">
        <v>1680</v>
      </c>
    </row>
    <row r="49" spans="1:3">
      <c r="A49" s="84" t="s">
        <v>1694</v>
      </c>
      <c r="B49" s="233" t="b">
        <v>0</v>
      </c>
      <c r="C49" s="84" t="s">
        <v>1695</v>
      </c>
    </row>
    <row r="50" spans="1:3">
      <c r="A50" s="84" t="s">
        <v>1696</v>
      </c>
      <c r="B50" s="233" t="b">
        <v>0</v>
      </c>
      <c r="C50" s="84" t="s">
        <v>1697</v>
      </c>
    </row>
    <row r="51" spans="1:3">
      <c r="A51" s="84" t="s">
        <v>1560</v>
      </c>
      <c r="B51" s="233" t="b">
        <v>0</v>
      </c>
      <c r="C51" s="84" t="s">
        <v>1561</v>
      </c>
    </row>
    <row r="52" spans="1:3" ht="25.5">
      <c r="A52" s="84" t="s">
        <v>1562</v>
      </c>
      <c r="B52" s="233" t="b">
        <v>0</v>
      </c>
      <c r="C52" s="84" t="s">
        <v>1811</v>
      </c>
    </row>
    <row r="53" spans="1:3" ht="25.5">
      <c r="A53" s="84" t="s">
        <v>1564</v>
      </c>
      <c r="B53" s="233" t="b">
        <v>0</v>
      </c>
      <c r="C53" s="84" t="s">
        <v>1812</v>
      </c>
    </row>
    <row r="54" spans="1:3">
      <c r="A54" s="84" t="s">
        <v>1565</v>
      </c>
      <c r="B54" s="233" t="b">
        <v>0</v>
      </c>
      <c r="C54" s="84" t="s">
        <v>1566</v>
      </c>
    </row>
    <row r="55" spans="1:3">
      <c r="A55" s="84" t="s">
        <v>1563</v>
      </c>
      <c r="B55" s="233" t="b">
        <v>0</v>
      </c>
      <c r="C55" s="84" t="s">
        <v>1523</v>
      </c>
    </row>
    <row r="56" spans="1:3">
      <c r="A56" s="84" t="s">
        <v>1569</v>
      </c>
      <c r="B56" s="233" t="b">
        <v>0</v>
      </c>
      <c r="C56" s="84" t="s">
        <v>1570</v>
      </c>
    </row>
    <row r="57" spans="1:3">
      <c r="A57" s="84" t="s">
        <v>1567</v>
      </c>
      <c r="B57" s="233" t="b">
        <v>0</v>
      </c>
      <c r="C57" s="84" t="s">
        <v>1568</v>
      </c>
    </row>
    <row r="58" spans="1:3">
      <c r="A58" s="84" t="s">
        <v>1705</v>
      </c>
      <c r="B58" s="233" t="b">
        <v>0</v>
      </c>
      <c r="C58" s="84" t="s">
        <v>1706</v>
      </c>
    </row>
    <row r="59" spans="1:3" ht="25.5">
      <c r="A59" s="84" t="s">
        <v>1707</v>
      </c>
      <c r="B59" s="233" t="b">
        <v>0</v>
      </c>
      <c r="C59" s="84" t="s">
        <v>1851</v>
      </c>
    </row>
    <row r="60" spans="1:3">
      <c r="A60" s="84" t="s">
        <v>1571</v>
      </c>
      <c r="B60" s="233" t="b">
        <v>0</v>
      </c>
      <c r="C60" s="84" t="s">
        <v>1738</v>
      </c>
    </row>
    <row r="61" spans="1:3">
      <c r="A61" s="84" t="s">
        <v>1572</v>
      </c>
      <c r="B61" s="233" t="b">
        <v>0</v>
      </c>
      <c r="C61" s="84" t="s">
        <v>1573</v>
      </c>
    </row>
    <row r="62" spans="1:3" ht="25.5">
      <c r="A62" s="84" t="s">
        <v>1574</v>
      </c>
      <c r="B62" s="233" t="b">
        <v>0</v>
      </c>
      <c r="C62" s="84" t="s">
        <v>1813</v>
      </c>
    </row>
    <row r="63" spans="1:3">
      <c r="A63" s="84" t="s">
        <v>1575</v>
      </c>
      <c r="B63" s="233" t="b">
        <v>0</v>
      </c>
      <c r="C63" s="84" t="s">
        <v>1739</v>
      </c>
    </row>
    <row r="64" spans="1:3">
      <c r="A64" s="84" t="s">
        <v>1576</v>
      </c>
      <c r="B64" s="233" t="b">
        <v>0</v>
      </c>
      <c r="C64" s="84" t="s">
        <v>1577</v>
      </c>
    </row>
    <row r="65" spans="1:3">
      <c r="A65" s="84" t="s">
        <v>1578</v>
      </c>
      <c r="B65" s="233" t="b">
        <v>0</v>
      </c>
      <c r="C65" s="84" t="s">
        <v>1740</v>
      </c>
    </row>
    <row r="66" spans="1:3" ht="25.5">
      <c r="A66" s="84" t="s">
        <v>1579</v>
      </c>
      <c r="B66" s="233" t="b">
        <v>0</v>
      </c>
      <c r="C66" s="84" t="s">
        <v>1814</v>
      </c>
    </row>
    <row r="67" spans="1:3" ht="25.5">
      <c r="A67" s="84" t="s">
        <v>1581</v>
      </c>
      <c r="B67" s="233" t="b">
        <v>0</v>
      </c>
      <c r="C67" s="84" t="s">
        <v>1815</v>
      </c>
    </row>
    <row r="68" spans="1:3">
      <c r="A68" s="84" t="s">
        <v>1580</v>
      </c>
      <c r="B68" s="233" t="b">
        <v>0</v>
      </c>
      <c r="C68" s="84" t="s">
        <v>1741</v>
      </c>
    </row>
    <row r="69" spans="1:3" ht="25.5">
      <c r="A69" s="84" t="s">
        <v>1586</v>
      </c>
      <c r="B69" s="233" t="b">
        <v>0</v>
      </c>
      <c r="C69" s="84" t="s">
        <v>1742</v>
      </c>
    </row>
    <row r="70" spans="1:3">
      <c r="A70" s="84" t="s">
        <v>1584</v>
      </c>
      <c r="B70" s="233" t="b">
        <v>0</v>
      </c>
      <c r="C70" s="84" t="s">
        <v>1585</v>
      </c>
    </row>
    <row r="71" spans="1:3">
      <c r="A71" s="84" t="s">
        <v>1582</v>
      </c>
      <c r="B71" s="233" t="b">
        <v>0</v>
      </c>
      <c r="C71" s="84" t="s">
        <v>1583</v>
      </c>
    </row>
    <row r="72" spans="1:3">
      <c r="A72" s="84" t="s">
        <v>9</v>
      </c>
      <c r="B72" s="233" t="b">
        <v>0</v>
      </c>
      <c r="C72" s="84" t="s">
        <v>1588</v>
      </c>
    </row>
    <row r="73" spans="1:3">
      <c r="A73" s="84" t="s">
        <v>1589</v>
      </c>
      <c r="B73" s="233" t="b">
        <v>0</v>
      </c>
      <c r="C73" s="84" t="s">
        <v>1590</v>
      </c>
    </row>
    <row r="74" spans="1:3" ht="25.5">
      <c r="A74" s="84" t="s">
        <v>1687</v>
      </c>
      <c r="B74" s="233" t="b">
        <v>0</v>
      </c>
      <c r="C74" s="84" t="s">
        <v>1845</v>
      </c>
    </row>
    <row r="75" spans="1:3" ht="25.5">
      <c r="A75" s="84" t="s">
        <v>1587</v>
      </c>
      <c r="B75" s="233" t="b">
        <v>0</v>
      </c>
      <c r="C75" s="84" t="s">
        <v>1816</v>
      </c>
    </row>
    <row r="76" spans="1:3">
      <c r="A76" s="84" t="s">
        <v>1591</v>
      </c>
      <c r="B76" s="233" t="b">
        <v>0</v>
      </c>
      <c r="C76" s="84" t="s">
        <v>1743</v>
      </c>
    </row>
    <row r="77" spans="1:3">
      <c r="A77" s="84" t="s">
        <v>1592</v>
      </c>
      <c r="B77" s="233" t="b">
        <v>0</v>
      </c>
      <c r="C77" s="84" t="s">
        <v>1744</v>
      </c>
    </row>
    <row r="78" spans="1:3" ht="25.5">
      <c r="A78" s="84" t="s">
        <v>1593</v>
      </c>
      <c r="B78" s="233" t="b">
        <v>0</v>
      </c>
      <c r="C78" s="84" t="s">
        <v>1817</v>
      </c>
    </row>
    <row r="79" spans="1:3" ht="25.5">
      <c r="A79" s="84" t="s">
        <v>1594</v>
      </c>
      <c r="B79" s="233" t="b">
        <v>0</v>
      </c>
      <c r="C79" s="84" t="s">
        <v>1818</v>
      </c>
    </row>
    <row r="80" spans="1:3">
      <c r="A80" s="84" t="s">
        <v>1595</v>
      </c>
      <c r="B80" s="233" t="b">
        <v>0</v>
      </c>
      <c r="C80" s="84" t="s">
        <v>1745</v>
      </c>
    </row>
    <row r="81" spans="1:3" ht="25.5">
      <c r="A81" s="84" t="s">
        <v>2040</v>
      </c>
      <c r="B81" s="233" t="b">
        <v>0</v>
      </c>
      <c r="C81" s="84" t="s">
        <v>1819</v>
      </c>
    </row>
    <row r="82" spans="1:3">
      <c r="A82" s="84" t="s">
        <v>1596</v>
      </c>
      <c r="B82" s="233" t="b">
        <v>0</v>
      </c>
      <c r="C82" s="84" t="s">
        <v>1597</v>
      </c>
    </row>
    <row r="83" spans="1:3">
      <c r="A83" s="84" t="s">
        <v>1703</v>
      </c>
      <c r="B83" s="233" t="b">
        <v>0</v>
      </c>
      <c r="C83" s="84" t="s">
        <v>1764</v>
      </c>
    </row>
    <row r="84" spans="1:3" ht="25.5">
      <c r="A84" s="84" t="s">
        <v>2041</v>
      </c>
      <c r="B84" s="233" t="b">
        <v>0</v>
      </c>
      <c r="C84" s="84" t="s">
        <v>1820</v>
      </c>
    </row>
    <row r="85" spans="1:3" ht="25.5">
      <c r="A85" s="84" t="s">
        <v>1599</v>
      </c>
      <c r="B85" s="233" t="b">
        <v>0</v>
      </c>
      <c r="C85" s="84" t="s">
        <v>1821</v>
      </c>
    </row>
    <row r="86" spans="1:3">
      <c r="A86" s="84" t="s">
        <v>1598</v>
      </c>
      <c r="B86" s="233" t="b">
        <v>0</v>
      </c>
      <c r="C86" s="84" t="s">
        <v>1746</v>
      </c>
    </row>
    <row r="87" spans="1:3">
      <c r="A87" s="84" t="s">
        <v>1600</v>
      </c>
      <c r="B87" s="233" t="b">
        <v>0</v>
      </c>
      <c r="C87" s="84" t="s">
        <v>1601</v>
      </c>
    </row>
    <row r="88" spans="1:3">
      <c r="A88" s="84" t="s">
        <v>1602</v>
      </c>
      <c r="B88" s="233" t="b">
        <v>0</v>
      </c>
      <c r="C88" s="84" t="s">
        <v>1603</v>
      </c>
    </row>
    <row r="89" spans="1:3">
      <c r="A89" s="84" t="s">
        <v>1733</v>
      </c>
      <c r="B89" s="233" t="b">
        <v>0</v>
      </c>
      <c r="C89" s="84" t="s">
        <v>1733</v>
      </c>
    </row>
    <row r="90" spans="1:3">
      <c r="A90" s="84" t="s">
        <v>1730</v>
      </c>
      <c r="B90" s="233" t="b">
        <v>0</v>
      </c>
      <c r="C90" s="84" t="s">
        <v>1730</v>
      </c>
    </row>
    <row r="91" spans="1:3" ht="25.5">
      <c r="A91" s="84" t="s">
        <v>1604</v>
      </c>
      <c r="B91" s="233" t="b">
        <v>0</v>
      </c>
      <c r="C91" s="84" t="s">
        <v>1822</v>
      </c>
    </row>
    <row r="92" spans="1:3">
      <c r="A92" s="84" t="s">
        <v>1685</v>
      </c>
      <c r="B92" s="233" t="b">
        <v>0</v>
      </c>
      <c r="C92" s="84" t="s">
        <v>1686</v>
      </c>
    </row>
    <row r="93" spans="1:3" ht="25.5">
      <c r="A93" s="84" t="s">
        <v>1605</v>
      </c>
      <c r="B93" s="233" t="b">
        <v>0</v>
      </c>
      <c r="C93" s="84" t="s">
        <v>1823</v>
      </c>
    </row>
    <row r="94" spans="1:3">
      <c r="A94" s="84" t="s">
        <v>1689</v>
      </c>
      <c r="B94" s="233" t="b">
        <v>0</v>
      </c>
      <c r="C94" s="84" t="s">
        <v>1763</v>
      </c>
    </row>
    <row r="95" spans="1:3" ht="25.5">
      <c r="A95" s="84" t="s">
        <v>1688</v>
      </c>
      <c r="B95" s="233" t="b">
        <v>0</v>
      </c>
      <c r="C95" s="84" t="s">
        <v>1846</v>
      </c>
    </row>
    <row r="96" spans="1:3">
      <c r="A96" s="84" t="s">
        <v>1606</v>
      </c>
      <c r="B96" s="233" t="b">
        <v>0</v>
      </c>
      <c r="C96" s="84" t="s">
        <v>1747</v>
      </c>
    </row>
    <row r="97" spans="1:3">
      <c r="A97" s="84" t="s">
        <v>1607</v>
      </c>
      <c r="B97" s="233" t="b">
        <v>0</v>
      </c>
      <c r="C97" s="84" t="s">
        <v>1608</v>
      </c>
    </row>
    <row r="98" spans="1:3" ht="25.5">
      <c r="A98" s="84" t="s">
        <v>1609</v>
      </c>
      <c r="B98" s="233" t="b">
        <v>0</v>
      </c>
      <c r="C98" s="84" t="s">
        <v>1824</v>
      </c>
    </row>
    <row r="99" spans="1:3" ht="25.5">
      <c r="A99" s="84" t="s">
        <v>1728</v>
      </c>
      <c r="B99" s="233" t="b">
        <v>0</v>
      </c>
      <c r="C99" s="84" t="s">
        <v>1854</v>
      </c>
    </row>
    <row r="100" spans="1:3" ht="25.5">
      <c r="A100" s="84" t="s">
        <v>1610</v>
      </c>
      <c r="B100" s="233" t="b">
        <v>0</v>
      </c>
      <c r="C100" s="84" t="s">
        <v>1825</v>
      </c>
    </row>
    <row r="101" spans="1:3" ht="25.5">
      <c r="A101" s="84" t="s">
        <v>1612</v>
      </c>
      <c r="B101" s="233" t="b">
        <v>0</v>
      </c>
      <c r="C101" s="84" t="s">
        <v>1827</v>
      </c>
    </row>
    <row r="102" spans="1:3" ht="25.5">
      <c r="A102" s="84" t="s">
        <v>1611</v>
      </c>
      <c r="B102" s="233" t="b">
        <v>0</v>
      </c>
      <c r="C102" s="84" t="s">
        <v>1826</v>
      </c>
    </row>
    <row r="103" spans="1:3">
      <c r="A103" s="84" t="s">
        <v>1615</v>
      </c>
      <c r="B103" s="233" t="b">
        <v>0</v>
      </c>
      <c r="C103" s="84" t="s">
        <v>1616</v>
      </c>
    </row>
    <row r="104" spans="1:3">
      <c r="A104" s="84" t="s">
        <v>1613</v>
      </c>
      <c r="B104" s="233" t="b">
        <v>0</v>
      </c>
      <c r="C104" s="84" t="s">
        <v>1614</v>
      </c>
    </row>
    <row r="105" spans="1:3">
      <c r="A105" s="84" t="s">
        <v>1617</v>
      </c>
      <c r="B105" s="233" t="b">
        <v>0</v>
      </c>
      <c r="C105" s="84" t="s">
        <v>1748</v>
      </c>
    </row>
    <row r="106" spans="1:3">
      <c r="A106" s="84" t="s">
        <v>1618</v>
      </c>
      <c r="B106" s="233" t="b">
        <v>0</v>
      </c>
      <c r="C106" s="84" t="s">
        <v>1749</v>
      </c>
    </row>
    <row r="107" spans="1:3">
      <c r="A107" s="84" t="s">
        <v>1621</v>
      </c>
      <c r="B107" s="233" t="b">
        <v>0</v>
      </c>
      <c r="C107" s="84" t="s">
        <v>1622</v>
      </c>
    </row>
    <row r="108" spans="1:3">
      <c r="A108" s="84" t="s">
        <v>1619</v>
      </c>
      <c r="B108" s="233" t="b">
        <v>0</v>
      </c>
      <c r="C108" s="84" t="s">
        <v>1620</v>
      </c>
    </row>
    <row r="109" spans="1:3" ht="25.5">
      <c r="A109" s="84" t="s">
        <v>1723</v>
      </c>
      <c r="B109" s="233" t="b">
        <v>0</v>
      </c>
      <c r="C109" s="84" t="s">
        <v>1853</v>
      </c>
    </row>
    <row r="110" spans="1:3">
      <c r="A110" s="84" t="s">
        <v>1623</v>
      </c>
      <c r="B110" s="233" t="b">
        <v>0</v>
      </c>
      <c r="C110" s="84" t="s">
        <v>1624</v>
      </c>
    </row>
    <row r="111" spans="1:3">
      <c r="A111" s="84" t="s">
        <v>1625</v>
      </c>
      <c r="B111" s="233" t="b">
        <v>0</v>
      </c>
      <c r="C111" s="84" t="s">
        <v>1626</v>
      </c>
    </row>
    <row r="112" spans="1:3" ht="25.5">
      <c r="A112" s="84" t="s">
        <v>1729</v>
      </c>
      <c r="B112" s="233" t="b">
        <v>0</v>
      </c>
      <c r="C112" s="84" t="s">
        <v>1855</v>
      </c>
    </row>
    <row r="113" spans="1:3">
      <c r="A113" s="84" t="s">
        <v>1633</v>
      </c>
      <c r="B113" s="233" t="b">
        <v>0</v>
      </c>
      <c r="C113" s="84" t="s">
        <v>1750</v>
      </c>
    </row>
    <row r="114" spans="1:3">
      <c r="A114" s="84" t="s">
        <v>1627</v>
      </c>
      <c r="B114" s="233" t="b">
        <v>0</v>
      </c>
      <c r="C114" s="84" t="s">
        <v>1628</v>
      </c>
    </row>
    <row r="115" spans="1:3">
      <c r="A115" s="84" t="s">
        <v>1629</v>
      </c>
      <c r="B115" s="233" t="b">
        <v>0</v>
      </c>
      <c r="C115" s="84" t="s">
        <v>1630</v>
      </c>
    </row>
    <row r="116" spans="1:3">
      <c r="A116" s="84" t="s">
        <v>1631</v>
      </c>
      <c r="B116" s="233" t="b">
        <v>0</v>
      </c>
      <c r="C116" s="84" t="s">
        <v>1632</v>
      </c>
    </row>
    <row r="117" spans="1:3" ht="25.5">
      <c r="A117" s="84" t="s">
        <v>1634</v>
      </c>
      <c r="B117" s="233" t="b">
        <v>0</v>
      </c>
      <c r="C117" s="84" t="s">
        <v>1828</v>
      </c>
    </row>
    <row r="118" spans="1:3">
      <c r="A118" s="84" t="s">
        <v>8</v>
      </c>
      <c r="B118" s="233" t="b">
        <v>0</v>
      </c>
      <c r="C118" s="84" t="s">
        <v>1635</v>
      </c>
    </row>
    <row r="119" spans="1:3" ht="25.5">
      <c r="A119" s="84" t="s">
        <v>1715</v>
      </c>
      <c r="B119" s="233" t="b">
        <v>0</v>
      </c>
      <c r="C119" s="84" t="s">
        <v>1852</v>
      </c>
    </row>
    <row r="120" spans="1:3" ht="25.5">
      <c r="A120" s="84" t="s">
        <v>1701</v>
      </c>
      <c r="B120" s="233" t="b">
        <v>0</v>
      </c>
      <c r="C120" s="84" t="s">
        <v>1848</v>
      </c>
    </row>
    <row r="121" spans="1:3">
      <c r="A121" s="84" t="s">
        <v>1732</v>
      </c>
      <c r="B121" s="233" t="b">
        <v>0</v>
      </c>
    </row>
    <row r="122" spans="1:3">
      <c r="A122" s="84" t="s">
        <v>1731</v>
      </c>
      <c r="B122" s="233" t="b">
        <v>0</v>
      </c>
    </row>
    <row r="123" spans="1:3">
      <c r="A123" s="84" t="s">
        <v>10</v>
      </c>
      <c r="B123" s="233" t="b">
        <v>0</v>
      </c>
      <c r="C123" s="84" t="s">
        <v>1636</v>
      </c>
    </row>
    <row r="124" spans="1:3" ht="25.5">
      <c r="A124" s="84" t="s">
        <v>1639</v>
      </c>
      <c r="B124" s="233" t="b">
        <v>0</v>
      </c>
      <c r="C124" s="84" t="s">
        <v>1829</v>
      </c>
    </row>
    <row r="125" spans="1:3">
      <c r="A125" s="84" t="s">
        <v>1637</v>
      </c>
      <c r="B125" s="233" t="b">
        <v>0</v>
      </c>
      <c r="C125" s="84" t="s">
        <v>1638</v>
      </c>
    </row>
    <row r="126" spans="1:3" ht="25.5">
      <c r="A126" s="84" t="s">
        <v>1640</v>
      </c>
      <c r="B126" s="233" t="b">
        <v>0</v>
      </c>
      <c r="C126" s="84" t="s">
        <v>1830</v>
      </c>
    </row>
    <row r="127" spans="1:3">
      <c r="A127" s="84" t="s">
        <v>1641</v>
      </c>
      <c r="B127" s="233" t="b">
        <v>0</v>
      </c>
      <c r="C127" s="84" t="s">
        <v>1751</v>
      </c>
    </row>
    <row r="128" spans="1:3">
      <c r="A128" s="84" t="s">
        <v>1642</v>
      </c>
      <c r="B128" s="233" t="b">
        <v>0</v>
      </c>
      <c r="C128" s="84" t="s">
        <v>1643</v>
      </c>
    </row>
    <row r="129" spans="1:3">
      <c r="A129" s="84" t="s">
        <v>1644</v>
      </c>
      <c r="B129" s="233" t="b">
        <v>0</v>
      </c>
      <c r="C129" s="84" t="s">
        <v>1645</v>
      </c>
    </row>
    <row r="130" spans="1:3">
      <c r="A130" s="84" t="s">
        <v>1646</v>
      </c>
      <c r="B130" s="233" t="b">
        <v>0</v>
      </c>
      <c r="C130" s="84" t="s">
        <v>1752</v>
      </c>
    </row>
    <row r="131" spans="1:3">
      <c r="A131" s="84" t="s">
        <v>1647</v>
      </c>
      <c r="B131" s="233" t="b">
        <v>0</v>
      </c>
      <c r="C131" s="84" t="s">
        <v>1648</v>
      </c>
    </row>
    <row r="132" spans="1:3">
      <c r="A132" s="84" t="s">
        <v>1716</v>
      </c>
      <c r="B132" s="233" t="b">
        <v>0</v>
      </c>
      <c r="C132" s="84" t="s">
        <v>1717</v>
      </c>
    </row>
    <row r="133" spans="1:3">
      <c r="A133" s="84" t="s">
        <v>1718</v>
      </c>
      <c r="B133" s="233" t="b">
        <v>0</v>
      </c>
      <c r="C133" s="84" t="s">
        <v>1719</v>
      </c>
    </row>
    <row r="134" spans="1:3" ht="25.5">
      <c r="A134" s="84" t="s">
        <v>1650</v>
      </c>
      <c r="B134" s="233" t="b">
        <v>0</v>
      </c>
      <c r="C134" s="84" t="s">
        <v>1831</v>
      </c>
    </row>
    <row r="135" spans="1:3" ht="25.5">
      <c r="A135" s="84" t="s">
        <v>1651</v>
      </c>
      <c r="B135" s="233" t="b">
        <v>0</v>
      </c>
      <c r="C135" s="84" t="s">
        <v>1832</v>
      </c>
    </row>
    <row r="136" spans="1:3" ht="25.5">
      <c r="A136" s="84" t="s">
        <v>1653</v>
      </c>
      <c r="B136" s="233" t="b">
        <v>0</v>
      </c>
      <c r="C136" s="84" t="s">
        <v>1833</v>
      </c>
    </row>
    <row r="137" spans="1:3">
      <c r="A137" s="84" t="s">
        <v>1649</v>
      </c>
      <c r="B137" s="233" t="b">
        <v>0</v>
      </c>
      <c r="C137" s="84" t="s">
        <v>1753</v>
      </c>
    </row>
    <row r="138" spans="1:3">
      <c r="A138" s="84" t="s">
        <v>1654</v>
      </c>
      <c r="B138" s="233" t="b">
        <v>0</v>
      </c>
      <c r="C138" s="84" t="s">
        <v>1755</v>
      </c>
    </row>
    <row r="139" spans="1:3">
      <c r="A139" s="84" t="s">
        <v>1652</v>
      </c>
      <c r="B139" s="233" t="b">
        <v>0</v>
      </c>
      <c r="C139" s="84" t="s">
        <v>1754</v>
      </c>
    </row>
    <row r="140" spans="1:3" ht="25.5">
      <c r="A140" s="84" t="s">
        <v>1656</v>
      </c>
      <c r="B140" s="233" t="b">
        <v>0</v>
      </c>
      <c r="C140" s="84" t="s">
        <v>1835</v>
      </c>
    </row>
    <row r="141" spans="1:3" ht="25.5">
      <c r="A141" s="84" t="s">
        <v>1655</v>
      </c>
      <c r="B141" s="233" t="b">
        <v>0</v>
      </c>
      <c r="C141" s="84" t="s">
        <v>1834</v>
      </c>
    </row>
    <row r="142" spans="1:3" ht="25.5">
      <c r="A142" s="84" t="s">
        <v>1657</v>
      </c>
      <c r="B142" s="233" t="b">
        <v>0</v>
      </c>
      <c r="C142" s="84" t="s">
        <v>1836</v>
      </c>
    </row>
    <row r="143" spans="1:3" ht="25.5">
      <c r="A143" s="84" t="s">
        <v>1659</v>
      </c>
      <c r="B143" s="233" t="b">
        <v>0</v>
      </c>
      <c r="C143" s="84" t="s">
        <v>1838</v>
      </c>
    </row>
    <row r="144" spans="1:3" ht="25.5">
      <c r="A144" s="84" t="s">
        <v>1658</v>
      </c>
      <c r="B144" s="233" t="b">
        <v>0</v>
      </c>
      <c r="C144" s="84" t="s">
        <v>1837</v>
      </c>
    </row>
    <row r="145" spans="1:3" ht="25.5">
      <c r="A145" s="84" t="s">
        <v>1660</v>
      </c>
      <c r="B145" s="233" t="b">
        <v>0</v>
      </c>
      <c r="C145" s="84" t="s">
        <v>1839</v>
      </c>
    </row>
    <row r="146" spans="1:3" ht="25.5">
      <c r="A146" s="84" t="s">
        <v>1661</v>
      </c>
      <c r="B146" s="233" t="b">
        <v>0</v>
      </c>
      <c r="C146" s="84" t="s">
        <v>1840</v>
      </c>
    </row>
    <row r="147" spans="1:3" ht="25.5">
      <c r="A147" s="84" t="s">
        <v>1662</v>
      </c>
      <c r="B147" s="233" t="b">
        <v>0</v>
      </c>
      <c r="C147" s="84" t="s">
        <v>1841</v>
      </c>
    </row>
    <row r="148" spans="1:3">
      <c r="A148" s="84" t="s">
        <v>1663</v>
      </c>
      <c r="B148" s="233" t="b">
        <v>0</v>
      </c>
      <c r="C148" s="84" t="s">
        <v>1756</v>
      </c>
    </row>
    <row r="149" spans="1:3" ht="25.5">
      <c r="A149" s="84" t="s">
        <v>1702</v>
      </c>
      <c r="B149" s="233" t="b">
        <v>0</v>
      </c>
      <c r="C149" s="84" t="s">
        <v>1849</v>
      </c>
    </row>
    <row r="150" spans="1:3" ht="25.5">
      <c r="A150" s="84" t="s">
        <v>1700</v>
      </c>
      <c r="B150" s="233" t="b">
        <v>0</v>
      </c>
      <c r="C150" s="84" t="s">
        <v>1847</v>
      </c>
    </row>
    <row r="151" spans="1:3" ht="25.5">
      <c r="A151" s="84" t="s">
        <v>1704</v>
      </c>
      <c r="B151" s="233" t="b">
        <v>0</v>
      </c>
      <c r="C151" s="84" t="s">
        <v>1850</v>
      </c>
    </row>
    <row r="152" spans="1:3">
      <c r="A152" s="84" t="s">
        <v>1698</v>
      </c>
      <c r="B152" s="233" t="b">
        <v>0</v>
      </c>
      <c r="C152" s="84" t="s">
        <v>1699</v>
      </c>
    </row>
    <row r="153" spans="1:3" ht="25.5">
      <c r="A153" s="84" t="s">
        <v>1664</v>
      </c>
      <c r="B153" s="233" t="b">
        <v>0</v>
      </c>
      <c r="C153" s="84" t="s">
        <v>1842</v>
      </c>
    </row>
    <row r="154" spans="1:3" ht="25.5">
      <c r="A154" s="84" t="s">
        <v>1665</v>
      </c>
      <c r="B154" s="233" t="b">
        <v>0</v>
      </c>
      <c r="C154" s="84" t="s">
        <v>1757</v>
      </c>
    </row>
    <row r="155" spans="1:3">
      <c r="A155" s="84" t="s">
        <v>1666</v>
      </c>
      <c r="B155" s="233" t="b">
        <v>0</v>
      </c>
      <c r="C155" s="84" t="s">
        <v>1667</v>
      </c>
    </row>
    <row r="156" spans="1:3">
      <c r="A156" s="84" t="s">
        <v>1668</v>
      </c>
      <c r="B156" s="233" t="b">
        <v>0</v>
      </c>
      <c r="C156" s="84" t="s">
        <v>1758</v>
      </c>
    </row>
    <row r="157" spans="1:3">
      <c r="A157" s="84" t="s">
        <v>1669</v>
      </c>
      <c r="B157" s="233" t="b">
        <v>0</v>
      </c>
      <c r="C157" s="84" t="s">
        <v>1670</v>
      </c>
    </row>
    <row r="158" spans="1:3" ht="25.5">
      <c r="A158" s="84" t="s">
        <v>1671</v>
      </c>
      <c r="B158" s="233" t="b">
        <v>0</v>
      </c>
      <c r="C158" s="84" t="s">
        <v>1843</v>
      </c>
    </row>
    <row r="159" spans="1:3">
      <c r="A159" s="84" t="s">
        <v>1673</v>
      </c>
      <c r="B159" s="233" t="b">
        <v>0</v>
      </c>
      <c r="C159" s="84" t="s">
        <v>1674</v>
      </c>
    </row>
    <row r="160" spans="1:3">
      <c r="A160" s="84" t="s">
        <v>1672</v>
      </c>
      <c r="B160" s="233" t="b">
        <v>0</v>
      </c>
      <c r="C160" s="84" t="s">
        <v>1759</v>
      </c>
    </row>
    <row r="161" spans="1:3" ht="25.5">
      <c r="A161" s="84" t="s">
        <v>1676</v>
      </c>
      <c r="B161" s="233" t="b">
        <v>0</v>
      </c>
      <c r="C161" s="84" t="s">
        <v>1844</v>
      </c>
    </row>
    <row r="162" spans="1:3">
      <c r="A162" s="84" t="s">
        <v>1675</v>
      </c>
      <c r="B162" s="233" t="b">
        <v>0</v>
      </c>
      <c r="C162" s="84" t="s">
        <v>1760</v>
      </c>
    </row>
    <row r="163" spans="1:3">
      <c r="A163" s="84" t="s">
        <v>1677</v>
      </c>
      <c r="B163" s="233" t="b">
        <v>0</v>
      </c>
      <c r="C163" s="84" t="s">
        <v>1761</v>
      </c>
    </row>
    <row r="164" spans="1:3">
      <c r="A164" s="84" t="s">
        <v>1678</v>
      </c>
      <c r="B164" s="233" t="b">
        <v>0</v>
      </c>
      <c r="C164" s="84" t="s">
        <v>1762</v>
      </c>
    </row>
    <row r="165" spans="1:3">
      <c r="A165" s="84" t="s">
        <v>1713</v>
      </c>
      <c r="B165" s="233" t="b">
        <v>0</v>
      </c>
      <c r="C165" s="84" t="s">
        <v>1714</v>
      </c>
    </row>
    <row r="166" spans="1:3">
      <c r="A166" s="84" t="s">
        <v>1711</v>
      </c>
      <c r="B166" s="233" t="b">
        <v>0</v>
      </c>
      <c r="C166" s="84" t="s">
        <v>1712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tabSelected="1"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L10" sqref="L10"/>
    </sheetView>
  </sheetViews>
  <sheetFormatPr defaultColWidth="9.140625" defaultRowHeight="12.75"/>
  <cols>
    <col min="1" max="1" width="25.71093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>
      <c r="A1" s="254" t="s">
        <v>1937</v>
      </c>
      <c r="B1" s="248" t="s">
        <v>1508</v>
      </c>
      <c r="C1" s="254" t="s">
        <v>1275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1866</v>
      </c>
      <c r="N1" s="242" t="s">
        <v>1474</v>
      </c>
      <c r="O1" s="242" t="s">
        <v>1477</v>
      </c>
    </row>
    <row r="2" spans="1:15" ht="15">
      <c r="A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syndwqqqadapprdeus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sql-qqq-adap-prd-eus-01</v>
      </c>
      <c r="D2" s="222" t="s">
        <v>820</v>
      </c>
      <c r="E2" s="223" t="s">
        <v>2045</v>
      </c>
      <c r="F2" s="224" t="s">
        <v>1867</v>
      </c>
      <c r="G2" s="222" t="s">
        <v>824</v>
      </c>
      <c r="H2" s="222" t="s">
        <v>1478</v>
      </c>
      <c r="I2" s="222" t="s">
        <v>1479</v>
      </c>
      <c r="J2" s="222" t="s">
        <v>1515</v>
      </c>
      <c r="K2" s="222" t="s">
        <v>2034</v>
      </c>
      <c r="L2" s="223" t="s">
        <v>2046</v>
      </c>
      <c r="M2" s="223" t="s">
        <v>821</v>
      </c>
      <c r="N2" s="222" t="s">
        <v>1480</v>
      </c>
      <c r="O2" s="222" t="s">
        <v>1516</v>
      </c>
    </row>
  </sheetData>
  <dataValidations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display="approver@company.org" xr:uid="{EBE18382-623C-43A9-8FCA-0E5D8FD1EDF2}"/>
    <hyperlink ref="L2" r:id="rId2" display="owner@company.org" xr:uid="{3C10FC42-E62F-4CBD-973E-B9E7578A393E}"/>
    <hyperlink ref="M2" r:id="rId3" display="requester@company.org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6" sqref="N26"/>
    </sheetView>
  </sheetViews>
  <sheetFormatPr defaultColWidth="9.140625" defaultRowHeight="12.75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>
      <c r="A1" s="226" t="s">
        <v>2022</v>
      </c>
      <c r="B1" s="248" t="s">
        <v>1508</v>
      </c>
      <c r="C1" s="226" t="s">
        <v>1510</v>
      </c>
      <c r="D1" s="226" t="s">
        <v>1511</v>
      </c>
      <c r="E1" s="226" t="s">
        <v>1512</v>
      </c>
      <c r="F1" s="227" t="s">
        <v>940</v>
      </c>
      <c r="G1" s="227" t="s">
        <v>1443</v>
      </c>
      <c r="H1" s="227" t="s">
        <v>1447</v>
      </c>
      <c r="I1" s="227" t="s">
        <v>1451</v>
      </c>
      <c r="J1" s="227" t="s">
        <v>1455</v>
      </c>
      <c r="K1" s="227" t="s">
        <v>1459</v>
      </c>
      <c r="L1" s="227" t="s">
        <v>1463</v>
      </c>
      <c r="M1" s="227" t="s">
        <v>1467</v>
      </c>
      <c r="N1" s="227" t="s">
        <v>8</v>
      </c>
      <c r="O1" s="227" t="s">
        <v>1866</v>
      </c>
      <c r="P1" s="227" t="s">
        <v>1474</v>
      </c>
      <c r="Q1" s="227" t="s">
        <v>1477</v>
      </c>
    </row>
    <row r="2" spans="1:17" ht="1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adlsqqqadapprdeus01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29" t="s">
        <v>776</v>
      </c>
      <c r="D2" s="229" t="s">
        <v>862</v>
      </c>
      <c r="E2" s="229" t="s">
        <v>861</v>
      </c>
      <c r="F2" s="222" t="s">
        <v>820</v>
      </c>
      <c r="G2" s="223" t="s">
        <v>2045</v>
      </c>
      <c r="H2" s="230" t="s">
        <v>1517</v>
      </c>
      <c r="I2" s="222" t="s">
        <v>824</v>
      </c>
      <c r="J2" s="222" t="s">
        <v>1478</v>
      </c>
      <c r="K2" s="222" t="s">
        <v>1479</v>
      </c>
      <c r="L2" s="222" t="s">
        <v>1515</v>
      </c>
      <c r="M2" s="222" t="s">
        <v>2034</v>
      </c>
      <c r="N2" s="223" t="s">
        <v>2046</v>
      </c>
      <c r="O2" s="223" t="s">
        <v>821</v>
      </c>
      <c r="P2" s="222" t="s">
        <v>1480</v>
      </c>
      <c r="Q2" s="222" t="s">
        <v>1516</v>
      </c>
    </row>
  </sheetData>
  <dataValidations count="6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M2" xr:uid="{A49B26E9-AAE9-4053-8E62-97D64C321F4B}">
      <formula1>Environment</formula1>
    </dataValidation>
    <dataValidation type="list" allowBlank="1" showInputMessage="1" showErrorMessage="1" sqref="P2" xr:uid="{3ED01B78-462E-4544-B67C-ED447E0ADBAC}">
      <formula1>ServiceClass</formula1>
    </dataValidation>
    <dataValidation type="list" allowBlank="1" showInputMessage="1" showErrorMessage="1" sqref="I2" xr:uid="{B283CC8E-C871-4AF7-8A29-B99CCB0BF36C}">
      <formula1>BusinessUnit</formula1>
    </dataValidation>
    <dataValidation type="list" allowBlank="1" showInputMessage="1" showErrorMessage="1" sqref="K2" xr:uid="{1FDCD9AC-CD17-455C-9454-F0FE6E07DA65}">
      <formula1>DisasterRecovery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G2" r:id="rId1" display="approver@company.org" xr:uid="{E64EB3FA-46CE-4099-9B3B-83D424591E7B}"/>
    <hyperlink ref="N2" r:id="rId2" display="owner@company.org" xr:uid="{AFAFE27E-741A-4141-94BA-272D2EA5D8B2}"/>
    <hyperlink ref="O2" r:id="rId3" display="requester@company.org" xr:uid="{B9A8414F-8AFD-40CF-A92E-17BA8058B0C5}"/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P2"/>
  <sheetViews>
    <sheetView topLeftCell="E1" zoomScaleNormal="100" zoomScaleSheetLayoutView="100" workbookViewId="0">
      <pane ySplit="1" topLeftCell="A2" activePane="bottomLeft" state="frozen"/>
      <selection activeCell="I24" sqref="I24"/>
      <selection pane="bottomLeft" activeCell="R1" sqref="R1:U1048576"/>
    </sheetView>
  </sheetViews>
  <sheetFormatPr defaultColWidth="9.140625" defaultRowHeight="12.75"/>
  <cols>
    <col min="1" max="1" width="37" style="235" customWidth="1"/>
    <col min="2" max="2" width="24.140625" style="247" customWidth="1"/>
    <col min="3" max="3" width="9" style="235" bestFit="1" customWidth="1"/>
    <col min="4" max="4" width="16.140625" style="235" bestFit="1" customWidth="1"/>
    <col min="5" max="5" width="6.28515625" style="229" bestFit="1" customWidth="1"/>
    <col min="6" max="6" width="25.140625" style="229" bestFit="1" customWidth="1"/>
    <col min="7" max="7" width="16.7109375" style="229" customWidth="1"/>
    <col min="8" max="8" width="6.42578125" style="229" bestFit="1" customWidth="1"/>
    <col min="9" max="9" width="9.28515625" style="229" bestFit="1" customWidth="1"/>
    <col min="10" max="10" width="15.5703125" style="229" bestFit="1" customWidth="1"/>
    <col min="11" max="11" width="10.85546875" style="229" bestFit="1" customWidth="1"/>
    <col min="12" max="12" width="5.28515625" style="229" bestFit="1" customWidth="1"/>
    <col min="13" max="13" width="22.28515625" style="229" bestFit="1" customWidth="1"/>
    <col min="14" max="14" width="25.5703125" style="229" bestFit="1" customWidth="1"/>
    <col min="15" max="15" width="5.28515625" style="229" bestFit="1" customWidth="1"/>
    <col min="16" max="16" width="10.85546875" style="229" bestFit="1" customWidth="1"/>
    <col min="17" max="16384" width="9.140625" style="235"/>
  </cols>
  <sheetData>
    <row r="1" spans="1:16" s="238" customFormat="1" ht="143.25" customHeight="1">
      <c r="A1" s="236" t="s">
        <v>1275</v>
      </c>
      <c r="B1" s="248" t="s">
        <v>1508</v>
      </c>
      <c r="C1" s="236" t="s">
        <v>1287</v>
      </c>
      <c r="D1" s="236" t="s">
        <v>1288</v>
      </c>
      <c r="E1" s="237" t="s">
        <v>940</v>
      </c>
      <c r="F1" s="237" t="s">
        <v>1443</v>
      </c>
      <c r="G1" s="237" t="s">
        <v>1447</v>
      </c>
      <c r="H1" s="237" t="s">
        <v>1451</v>
      </c>
      <c r="I1" s="237" t="s">
        <v>1455</v>
      </c>
      <c r="J1" s="237" t="s">
        <v>1459</v>
      </c>
      <c r="K1" s="237" t="s">
        <v>1463</v>
      </c>
      <c r="L1" s="237" t="s">
        <v>1467</v>
      </c>
      <c r="M1" s="237" t="s">
        <v>8</v>
      </c>
      <c r="N1" s="237" t="s">
        <v>1866</v>
      </c>
      <c r="O1" s="237" t="s">
        <v>1474</v>
      </c>
      <c r="P1" s="237" t="s">
        <v>1477</v>
      </c>
    </row>
    <row r="2" spans="1:16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sql-qqq-adap-prd-eus-01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35" t="s">
        <v>872</v>
      </c>
      <c r="D2" s="235" t="s">
        <v>1901</v>
      </c>
      <c r="E2" s="222" t="s">
        <v>820</v>
      </c>
      <c r="F2" s="239" t="s">
        <v>2045</v>
      </c>
      <c r="G2" s="230" t="s">
        <v>1517</v>
      </c>
      <c r="H2" s="222" t="s">
        <v>824</v>
      </c>
      <c r="I2" s="222" t="s">
        <v>1478</v>
      </c>
      <c r="J2" s="222" t="s">
        <v>1479</v>
      </c>
      <c r="K2" s="222" t="s">
        <v>1515</v>
      </c>
      <c r="L2" s="222" t="s">
        <v>2034</v>
      </c>
      <c r="M2" s="239" t="s">
        <v>2046</v>
      </c>
      <c r="N2" s="239" t="s">
        <v>821</v>
      </c>
      <c r="O2" s="222" t="s">
        <v>1480</v>
      </c>
      <c r="P2" s="222" t="s">
        <v>1516</v>
      </c>
    </row>
  </sheetData>
  <dataValidations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display="approver@company.org" xr:uid="{BCD11002-123D-4FFB-84D4-8F2874B266BF}"/>
    <hyperlink ref="M2" r:id="rId2" display="owner@company.org" xr:uid="{10F630B2-67B4-441B-A9C1-954E1E967CB6}"/>
    <hyperlink ref="N2" r:id="rId3" display="requester@company.org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3" sqref="J3"/>
    </sheetView>
  </sheetViews>
  <sheetFormatPr defaultColWidth="9.140625" defaultRowHeight="12.75"/>
  <cols>
    <col min="1" max="1" width="22.7109375" style="247" bestFit="1" customWidth="1"/>
    <col min="2" max="2" width="17.85546875" style="247" bestFit="1" customWidth="1"/>
    <col min="3" max="3" width="5.7109375" style="244" bestFit="1" customWidth="1"/>
    <col min="4" max="4" width="24" style="244" bestFit="1" customWidth="1"/>
    <col min="5" max="5" width="10.7109375" style="244" bestFit="1" customWidth="1"/>
    <col min="6" max="6" width="5.7109375" style="244" bestFit="1" customWidth="1"/>
    <col min="7" max="7" width="8.5703125" style="244" bestFit="1" customWidth="1"/>
    <col min="8" max="8" width="13.7109375" style="244" bestFit="1" customWidth="1"/>
    <col min="9" max="9" width="10.140625" style="244" bestFit="1" customWidth="1"/>
    <col min="10" max="10" width="4.140625" style="244" bestFit="1" customWidth="1"/>
    <col min="11" max="11" width="21.5703125" style="244" bestFit="1" customWidth="1"/>
    <col min="12" max="12" width="24.85546875" style="244" bestFit="1" customWidth="1"/>
    <col min="13" max="13" width="4.7109375" style="244" bestFit="1" customWidth="1"/>
    <col min="14" max="14" width="8.140625" style="244" bestFit="1" customWidth="1"/>
    <col min="15" max="16384" width="9.140625" style="244"/>
  </cols>
  <sheetData>
    <row r="1" spans="1:14" s="228" customFormat="1" ht="125.1" customHeight="1">
      <c r="A1" s="248" t="s">
        <v>1868</v>
      </c>
      <c r="B1" s="248" t="s">
        <v>1508</v>
      </c>
      <c r="C1" s="242" t="s">
        <v>940</v>
      </c>
      <c r="D1" s="242" t="s">
        <v>1443</v>
      </c>
      <c r="E1" s="242" t="s">
        <v>1447</v>
      </c>
      <c r="F1" s="242" t="s">
        <v>1451</v>
      </c>
      <c r="G1" s="242" t="s">
        <v>1455</v>
      </c>
      <c r="H1" s="242" t="s">
        <v>1459</v>
      </c>
      <c r="I1" s="242" t="s">
        <v>1463</v>
      </c>
      <c r="J1" s="242" t="s">
        <v>1467</v>
      </c>
      <c r="K1" s="242" t="s">
        <v>8</v>
      </c>
      <c r="L1" s="242" t="s">
        <v>1866</v>
      </c>
      <c r="M1" s="242" t="s">
        <v>1474</v>
      </c>
      <c r="N1" s="242" t="s">
        <v>1477</v>
      </c>
    </row>
    <row r="2" spans="1:14" ht="15">
      <c r="A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dfa-qqq-adap-prd-eus-01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22" t="s">
        <v>820</v>
      </c>
      <c r="D2" s="223" t="s">
        <v>2045</v>
      </c>
      <c r="E2" s="224" t="s">
        <v>1517</v>
      </c>
      <c r="F2" s="222" t="s">
        <v>824</v>
      </c>
      <c r="G2" s="222" t="s">
        <v>1478</v>
      </c>
      <c r="H2" s="222" t="s">
        <v>1479</v>
      </c>
      <c r="I2" s="222" t="s">
        <v>1515</v>
      </c>
      <c r="J2" s="222" t="s">
        <v>2034</v>
      </c>
      <c r="K2" s="223" t="s">
        <v>2046</v>
      </c>
      <c r="L2" s="223" t="s">
        <v>821</v>
      </c>
      <c r="M2" s="222" t="s">
        <v>1480</v>
      </c>
      <c r="N2" s="222" t="s">
        <v>1516</v>
      </c>
    </row>
    <row r="3" spans="1:14" ht="15">
      <c r="A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dfa-qqq-adap-prd-eus-02</v>
      </c>
      <c r="B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3" s="222" t="s">
        <v>820</v>
      </c>
      <c r="D3" s="223" t="s">
        <v>2045</v>
      </c>
      <c r="E3" s="224" t="s">
        <v>1517</v>
      </c>
      <c r="F3" s="222" t="s">
        <v>824</v>
      </c>
      <c r="G3" s="222" t="s">
        <v>1478</v>
      </c>
      <c r="H3" s="222" t="s">
        <v>1479</v>
      </c>
      <c r="I3" s="222" t="s">
        <v>1515</v>
      </c>
      <c r="J3" s="222" t="s">
        <v>2034</v>
      </c>
      <c r="K3" s="223" t="s">
        <v>2046</v>
      </c>
      <c r="L3" s="223" t="s">
        <v>821</v>
      </c>
      <c r="M3" s="222" t="s">
        <v>1480</v>
      </c>
      <c r="N3" s="222" t="s">
        <v>1516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display="approver@company.org" xr:uid="{E7F4205A-5142-48FD-8179-2036D2B4B903}"/>
    <hyperlink ref="K2" r:id="rId2" display="owner@company.org" xr:uid="{ABA68E03-D61A-4CE4-8A4A-91D812CD8700}"/>
    <hyperlink ref="L2" r:id="rId3" display="requester@company.org" xr:uid="{DF751F0C-20A4-4AFC-95E6-8B561A626D60}"/>
    <hyperlink ref="D3" r:id="rId4" display="approver@company.org" xr:uid="{21139686-DD85-45A6-89A3-9CDDC149F9CB}"/>
    <hyperlink ref="K3" r:id="rId5" display="owner@company.org" xr:uid="{C861033F-97FA-4AFB-98E4-16857880D1A9}"/>
    <hyperlink ref="L3" r:id="rId6" display="requester@company.org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I12" sqref="I12"/>
    </sheetView>
  </sheetViews>
  <sheetFormatPr defaultColWidth="9.140625" defaultRowHeight="12.75"/>
  <cols>
    <col min="1" max="1" width="26.140625" style="252" customWidth="1"/>
    <col min="2" max="2" width="56.7109375" style="252" customWidth="1"/>
    <col min="3" max="3" width="5.85546875" style="221" customWidth="1"/>
    <col min="4" max="4" width="24.28515625" style="221" bestFit="1" customWidth="1"/>
    <col min="5" max="6" width="5.85546875" style="221" customWidth="1"/>
    <col min="7" max="7" width="10" style="221" bestFit="1" customWidth="1"/>
    <col min="8" max="8" width="19.140625" style="221" bestFit="1" customWidth="1"/>
    <col min="9" max="9" width="12.140625" style="221" bestFit="1" customWidth="1"/>
    <col min="10" max="10" width="5.85546875" style="221" customWidth="1"/>
    <col min="11" max="11" width="20.7109375" style="221" bestFit="1" customWidth="1"/>
    <col min="12" max="12" width="25.5703125" style="221" bestFit="1" customWidth="1"/>
    <col min="13" max="13" width="5.85546875" style="221" customWidth="1"/>
    <col min="14" max="14" width="12.140625" style="221" bestFit="1" customWidth="1"/>
    <col min="15" max="16384" width="9.140625" style="221"/>
  </cols>
  <sheetData>
    <row r="1" spans="1:14" s="219" customFormat="1" ht="125.1" customHeight="1">
      <c r="A1" s="265" t="s">
        <v>1507</v>
      </c>
      <c r="B1" s="266" t="s">
        <v>1508</v>
      </c>
      <c r="C1" s="267" t="s">
        <v>940</v>
      </c>
      <c r="D1" s="267" t="s">
        <v>1443</v>
      </c>
      <c r="E1" s="267" t="s">
        <v>1447</v>
      </c>
      <c r="F1" s="267" t="s">
        <v>1451</v>
      </c>
      <c r="G1" s="267" t="s">
        <v>1455</v>
      </c>
      <c r="H1" s="267" t="s">
        <v>1459</v>
      </c>
      <c r="I1" s="267" t="s">
        <v>1463</v>
      </c>
      <c r="J1" s="267" t="s">
        <v>1467</v>
      </c>
      <c r="K1" s="267" t="s">
        <v>8</v>
      </c>
      <c r="L1" s="267" t="s">
        <v>1866</v>
      </c>
      <c r="M1" s="267" t="s">
        <v>1474</v>
      </c>
      <c r="N1" s="267" t="s">
        <v>1477</v>
      </c>
    </row>
    <row r="2" spans="1:14" s="220" customFormat="1" ht="15">
      <c r="A2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kv-qqq-adap-prd-eus</v>
      </c>
      <c r="B2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22" t="s">
        <v>820</v>
      </c>
      <c r="D2" s="223" t="s">
        <v>2045</v>
      </c>
      <c r="E2" s="224">
        <v>0</v>
      </c>
      <c r="F2" s="222" t="s">
        <v>824</v>
      </c>
      <c r="G2" s="222" t="s">
        <v>1478</v>
      </c>
      <c r="H2" s="222" t="s">
        <v>1479</v>
      </c>
      <c r="I2" s="225">
        <v>2958465</v>
      </c>
      <c r="J2" s="222" t="s">
        <v>2034</v>
      </c>
      <c r="K2" s="223" t="s">
        <v>2046</v>
      </c>
      <c r="L2" s="223" t="s">
        <v>821</v>
      </c>
      <c r="M2" s="222" t="s">
        <v>1480</v>
      </c>
      <c r="N2" s="225">
        <v>43831</v>
      </c>
    </row>
    <row r="3" spans="1:14" ht="15">
      <c r="A3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kv-qqq-mgmt-prd-eus</v>
      </c>
      <c r="B3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rg-qqq-mgmt-prd-eus</v>
      </c>
      <c r="C3" s="222" t="s">
        <v>1915</v>
      </c>
      <c r="D3" s="223" t="s">
        <v>2045</v>
      </c>
      <c r="E3" s="224" t="s">
        <v>612</v>
      </c>
      <c r="F3" s="222" t="s">
        <v>824</v>
      </c>
      <c r="G3" s="222" t="s">
        <v>1481</v>
      </c>
      <c r="H3" s="222" t="s">
        <v>1479</v>
      </c>
      <c r="I3" s="225">
        <v>2958465</v>
      </c>
      <c r="J3" s="222" t="s">
        <v>2034</v>
      </c>
      <c r="K3" s="223" t="s">
        <v>2046</v>
      </c>
      <c r="L3" s="223" t="s">
        <v>821</v>
      </c>
      <c r="M3" s="222" t="s">
        <v>1480</v>
      </c>
      <c r="N3" s="225">
        <v>43832</v>
      </c>
    </row>
  </sheetData>
  <phoneticPr fontId="17" type="noConversion"/>
  <dataValidations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display="approver@company.org" xr:uid="{342491CE-A7C6-494C-BF7F-DBA8380F4D2B}"/>
    <hyperlink ref="K2" r:id="rId2" display="owner@company.org" xr:uid="{168AD6DE-4123-440A-89FF-42B20558E16C}"/>
    <hyperlink ref="L2" r:id="rId3" display="requester@company.org" xr:uid="{D9D3210C-E4F9-4DD6-B4ED-62B2FECF5ACE}"/>
    <hyperlink ref="D3" r:id="rId4" display="approver@company.org" xr:uid="{8681A8AE-FB2B-4911-82CE-3AE846DBCA70}"/>
    <hyperlink ref="K3" r:id="rId5" display="owner@company.org" xr:uid="{DD8E388A-E45E-4E54-AD70-4108AC5B955A}"/>
    <hyperlink ref="L3" r:id="rId6" display="requester@company.org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>
      <c r="A1" s="226" t="s">
        <v>1509</v>
      </c>
      <c r="B1" s="248" t="s">
        <v>1508</v>
      </c>
      <c r="C1" s="226" t="s">
        <v>1510</v>
      </c>
      <c r="D1" s="226" t="s">
        <v>1511</v>
      </c>
      <c r="E1" s="226" t="s">
        <v>1512</v>
      </c>
      <c r="F1" s="227" t="s">
        <v>940</v>
      </c>
      <c r="G1" s="227" t="s">
        <v>1443</v>
      </c>
      <c r="H1" s="227" t="s">
        <v>1447</v>
      </c>
      <c r="I1" s="227" t="s">
        <v>1451</v>
      </c>
      <c r="J1" s="227" t="s">
        <v>1455</v>
      </c>
      <c r="K1" s="227" t="s">
        <v>1459</v>
      </c>
      <c r="L1" s="227" t="s">
        <v>1463</v>
      </c>
      <c r="M1" s="227" t="s">
        <v>1467</v>
      </c>
      <c r="N1" s="227" t="s">
        <v>8</v>
      </c>
      <c r="O1" s="227" t="s">
        <v>1866</v>
      </c>
      <c r="P1" s="227" t="s">
        <v>1474</v>
      </c>
      <c r="Q1" s="227" t="s">
        <v>1477</v>
      </c>
    </row>
    <row r="2" spans="1:17" ht="1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stgqqqadapprdeus01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29" t="s">
        <v>776</v>
      </c>
      <c r="D2" s="229" t="s">
        <v>862</v>
      </c>
      <c r="E2" s="229" t="s">
        <v>861</v>
      </c>
      <c r="F2" s="222" t="s">
        <v>820</v>
      </c>
      <c r="G2" s="223" t="s">
        <v>2045</v>
      </c>
      <c r="H2" s="230" t="s">
        <v>1517</v>
      </c>
      <c r="I2" s="222" t="s">
        <v>824</v>
      </c>
      <c r="J2" s="222" t="s">
        <v>1478</v>
      </c>
      <c r="K2" s="222" t="s">
        <v>1479</v>
      </c>
      <c r="L2" s="222" t="s">
        <v>1515</v>
      </c>
      <c r="M2" s="222" t="s">
        <v>2034</v>
      </c>
      <c r="N2" s="223" t="s">
        <v>2046</v>
      </c>
      <c r="O2" s="223" t="s">
        <v>821</v>
      </c>
      <c r="P2" s="222" t="s">
        <v>1480</v>
      </c>
      <c r="Q2" s="222" t="s">
        <v>1516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display="approver@company.org" xr:uid="{0D7F2AFF-796D-4F66-A84E-B866D13B20E9}"/>
    <hyperlink ref="N2" r:id="rId2" display="owner@company.org" xr:uid="{05552881-4A5B-452D-BB08-B432716D5EA6}"/>
    <hyperlink ref="O2" r:id="rId3" display="requester@company.org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Q2" sqref="Q2"/>
    </sheetView>
  </sheetViews>
  <sheetFormatPr defaultColWidth="9.140625" defaultRowHeight="12.75"/>
  <cols>
    <col min="1" max="1" width="23.7109375" style="235" customWidth="1"/>
    <col min="2" max="2" width="24.140625" style="247" customWidth="1"/>
    <col min="3" max="3" width="11.7109375" style="264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" width="9.140625" style="235"/>
    <col min="17" max="17" width="42.140625" style="235" customWidth="1"/>
    <col min="18" max="19" width="9.140625" style="235"/>
    <col min="20" max="20" width="24.140625" style="235" customWidth="1"/>
    <col min="21" max="16384" width="9.140625" style="235"/>
  </cols>
  <sheetData>
    <row r="1" spans="1:20" s="238" customFormat="1" ht="143.25" customHeight="1">
      <c r="A1" s="236" t="s">
        <v>1934</v>
      </c>
      <c r="B1" s="248" t="s">
        <v>1508</v>
      </c>
      <c r="C1" s="263" t="s">
        <v>1869</v>
      </c>
      <c r="D1" s="237" t="s">
        <v>940</v>
      </c>
      <c r="E1" s="237" t="s">
        <v>1443</v>
      </c>
      <c r="F1" s="237" t="s">
        <v>1447</v>
      </c>
      <c r="G1" s="237" t="s">
        <v>1451</v>
      </c>
      <c r="H1" s="237" t="s">
        <v>1455</v>
      </c>
      <c r="I1" s="237" t="s">
        <v>1459</v>
      </c>
      <c r="J1" s="237" t="s">
        <v>1463</v>
      </c>
      <c r="K1" s="237" t="s">
        <v>1467</v>
      </c>
      <c r="L1" s="237" t="s">
        <v>8</v>
      </c>
      <c r="M1" s="237" t="s">
        <v>1866</v>
      </c>
      <c r="N1" s="237" t="s">
        <v>1474</v>
      </c>
      <c r="O1" s="237" t="s">
        <v>1477</v>
      </c>
    </row>
    <row r="2" spans="1:20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log-qqq-adap-prd-eus-01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64" t="s">
        <v>1935</v>
      </c>
      <c r="D2" s="222" t="s">
        <v>820</v>
      </c>
      <c r="E2" s="239" t="s">
        <v>2045</v>
      </c>
      <c r="F2" s="230" t="s">
        <v>1517</v>
      </c>
      <c r="G2" s="222" t="s">
        <v>824</v>
      </c>
      <c r="H2" s="222" t="s">
        <v>1478</v>
      </c>
      <c r="I2" s="222" t="s">
        <v>1479</v>
      </c>
      <c r="J2" s="222" t="s">
        <v>1515</v>
      </c>
      <c r="K2" s="222" t="s">
        <v>2034</v>
      </c>
      <c r="L2" s="239" t="s">
        <v>2046</v>
      </c>
      <c r="M2" s="239" t="s">
        <v>821</v>
      </c>
      <c r="N2" s="222" t="s">
        <v>1480</v>
      </c>
      <c r="O2" s="222" t="s">
        <v>1516</v>
      </c>
      <c r="Q2" s="253"/>
      <c r="R2" s="235" t="str">
        <f ca="1">INDIRECT(SUBSTITUTE(ADDRESS(1,MATCH("ApplicationName",1:1,),4),1,)&amp;ROW())</f>
        <v>ADAP</v>
      </c>
      <c r="S2" s="235" t="str">
        <f ca="1">INDIRECT(SUBSTITUTE(ADDRESS(1,MATCH("Env",1:1,),4),1,)&amp;ROW())</f>
        <v>prd</v>
      </c>
      <c r="T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rg-qqq-adap-prd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display="approver@company.org" xr:uid="{F6B48E60-AC03-477B-93E0-A2446F67E26D}"/>
    <hyperlink ref="L2" r:id="rId2" display="owner@company.org" xr:uid="{4F175220-9E8E-4D7A-9C29-DB58D39E76C2}"/>
    <hyperlink ref="M2" r:id="rId3" display="requester@company.org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40625" defaultRowHeight="12.75"/>
  <cols>
    <col min="1" max="1" width="32.855468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>
      <c r="A1" s="254" t="s">
        <v>1941</v>
      </c>
      <c r="B1" s="248" t="s">
        <v>1508</v>
      </c>
      <c r="C1" s="254" t="s">
        <v>1275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1866</v>
      </c>
      <c r="N1" s="242" t="s">
        <v>1474</v>
      </c>
      <c r="O1" s="242" t="s">
        <v>1477</v>
      </c>
    </row>
    <row r="2" spans="1:15" ht="15">
      <c r="A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cosdb-qqq-adap-prd-eus-01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sql-qqq-adap-prd-eus-01</v>
      </c>
      <c r="D2" s="222" t="s">
        <v>820</v>
      </c>
      <c r="E2" s="223" t="s">
        <v>2045</v>
      </c>
      <c r="F2" s="224" t="s">
        <v>1867</v>
      </c>
      <c r="G2" s="222" t="s">
        <v>824</v>
      </c>
      <c r="H2" s="222" t="s">
        <v>1478</v>
      </c>
      <c r="I2" s="222" t="s">
        <v>1479</v>
      </c>
      <c r="J2" s="222" t="s">
        <v>1515</v>
      </c>
      <c r="K2" s="222" t="s">
        <v>2034</v>
      </c>
      <c r="L2" s="223" t="s">
        <v>2046</v>
      </c>
      <c r="M2" s="223" t="s">
        <v>821</v>
      </c>
      <c r="N2" s="222" t="s">
        <v>1480</v>
      </c>
      <c r="O2" s="222" t="s">
        <v>1516</v>
      </c>
    </row>
  </sheetData>
  <dataValidations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display="approver@company.org" xr:uid="{06F9A650-AB3B-4EB4-920C-F7DA4FBDABF2}"/>
    <hyperlink ref="L2" r:id="rId2" display="owner@company.org" xr:uid="{3AA5D57E-753B-4778-8A82-07CCE34450CD}"/>
    <hyperlink ref="M2" r:id="rId3" display="requester@company.org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J2" sqref="J2"/>
    </sheetView>
  </sheetViews>
  <sheetFormatPr defaultColWidth="9.140625" defaultRowHeight="12.75"/>
  <cols>
    <col min="1" max="1" width="37" style="235" customWidth="1"/>
    <col min="2" max="2" width="24.140625" style="247" customWidth="1"/>
    <col min="3" max="3" width="6.28515625" style="229" bestFit="1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5" width="9.140625" style="235"/>
    <col min="16" max="16" width="42.140625" style="235" customWidth="1"/>
    <col min="17" max="18" width="9.140625" style="235"/>
    <col min="19" max="19" width="24.140625" style="235" customWidth="1"/>
    <col min="20" max="16384" width="9.140625" style="235"/>
  </cols>
  <sheetData>
    <row r="1" spans="1:19" s="238" customFormat="1" ht="143.25" customHeight="1">
      <c r="A1" s="236" t="s">
        <v>1939</v>
      </c>
      <c r="B1" s="248" t="s">
        <v>1508</v>
      </c>
      <c r="C1" s="237" t="s">
        <v>940</v>
      </c>
      <c r="D1" s="237" t="s">
        <v>1443</v>
      </c>
      <c r="E1" s="237" t="s">
        <v>1447</v>
      </c>
      <c r="F1" s="237" t="s">
        <v>1451</v>
      </c>
      <c r="G1" s="237" t="s">
        <v>1455</v>
      </c>
      <c r="H1" s="237" t="s">
        <v>1459</v>
      </c>
      <c r="I1" s="237" t="s">
        <v>1463</v>
      </c>
      <c r="J1" s="237" t="s">
        <v>1467</v>
      </c>
      <c r="K1" s="237" t="s">
        <v>8</v>
      </c>
      <c r="L1" s="237" t="s">
        <v>1866</v>
      </c>
      <c r="M1" s="237" t="s">
        <v>1474</v>
      </c>
      <c r="N1" s="237" t="s">
        <v>1477</v>
      </c>
    </row>
    <row r="2" spans="1:19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asaj-qqq-adap-prd-eus-01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22" t="s">
        <v>820</v>
      </c>
      <c r="D2" s="239" t="s">
        <v>2045</v>
      </c>
      <c r="E2" s="230" t="s">
        <v>1517</v>
      </c>
      <c r="F2" s="222" t="s">
        <v>824</v>
      </c>
      <c r="G2" s="222" t="s">
        <v>1478</v>
      </c>
      <c r="H2" s="222" t="s">
        <v>1479</v>
      </c>
      <c r="I2" s="222" t="s">
        <v>1515</v>
      </c>
      <c r="J2" s="222" t="s">
        <v>2034</v>
      </c>
      <c r="K2" s="239" t="s">
        <v>2046</v>
      </c>
      <c r="L2" s="239" t="s">
        <v>821</v>
      </c>
      <c r="M2" s="222" t="s">
        <v>1480</v>
      </c>
      <c r="N2" s="222" t="s">
        <v>1516</v>
      </c>
      <c r="P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Q2" s="235" t="str">
        <f ca="1">INDIRECT(SUBSTITUTE(ADDRESS(1,MATCH("ApplicationName",1:1,),4),1,)&amp;ROW())</f>
        <v>ADAP</v>
      </c>
      <c r="R2" s="235" t="str">
        <f ca="1">INDIRECT(SUBSTITUTE(ADDRESS(1,MATCH("Env",1:1,),4),1,)&amp;ROW())</f>
        <v>prd</v>
      </c>
      <c r="S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rg-qqq-adap-prd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display="approver@company.org" xr:uid="{02819009-96C2-400C-9EC9-F604A55B710B}"/>
    <hyperlink ref="K2" r:id="rId2" display="owner@company.org" xr:uid="{53FF80D4-883B-4805-9209-5F718F347D2D}"/>
    <hyperlink ref="L2" r:id="rId3" display="requester@company.org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K2" sqref="K2"/>
    </sheetView>
  </sheetViews>
  <sheetFormatPr defaultColWidth="9.140625" defaultRowHeight="12.75"/>
  <cols>
    <col min="1" max="1" width="23.7109375" style="235" customWidth="1"/>
    <col min="2" max="2" width="24.140625" style="247" customWidth="1"/>
    <col min="3" max="3" width="20.5703125" style="235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384" width="9.140625" style="235"/>
  </cols>
  <sheetData>
    <row r="1" spans="1:15" s="238" customFormat="1" ht="143.25" customHeight="1">
      <c r="A1" s="236" t="s">
        <v>1931</v>
      </c>
      <c r="B1" s="257" t="s">
        <v>1508</v>
      </c>
      <c r="C1" s="236" t="s">
        <v>1933</v>
      </c>
      <c r="D1" s="237" t="s">
        <v>940</v>
      </c>
      <c r="E1" s="237" t="s">
        <v>1443</v>
      </c>
      <c r="F1" s="237" t="s">
        <v>1447</v>
      </c>
      <c r="G1" s="237" t="s">
        <v>1451</v>
      </c>
      <c r="H1" s="237" t="s">
        <v>1455</v>
      </c>
      <c r="I1" s="237" t="s">
        <v>1459</v>
      </c>
      <c r="J1" s="237" t="s">
        <v>1463</v>
      </c>
      <c r="K1" s="237" t="s">
        <v>1467</v>
      </c>
      <c r="L1" s="237" t="s">
        <v>8</v>
      </c>
      <c r="M1" s="237" t="s">
        <v>1866</v>
      </c>
      <c r="N1" s="237" t="s">
        <v>1474</v>
      </c>
      <c r="O1" s="237" t="s">
        <v>1477</v>
      </c>
    </row>
    <row r="2" spans="1:15" ht="15">
      <c r="A2" s="235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aasqqqadapprdeus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58" t="s">
        <v>1932</v>
      </c>
      <c r="D2" s="222" t="s">
        <v>820</v>
      </c>
      <c r="E2" s="239" t="s">
        <v>2045</v>
      </c>
      <c r="F2" s="230" t="s">
        <v>1517</v>
      </c>
      <c r="G2" s="222" t="s">
        <v>824</v>
      </c>
      <c r="H2" s="222" t="s">
        <v>1478</v>
      </c>
      <c r="I2" s="222" t="s">
        <v>1479</v>
      </c>
      <c r="J2" s="222" t="s">
        <v>1515</v>
      </c>
      <c r="K2" s="222" t="s">
        <v>2034</v>
      </c>
      <c r="L2" s="239" t="s">
        <v>2046</v>
      </c>
      <c r="M2" s="239" t="s">
        <v>821</v>
      </c>
      <c r="N2" s="222" t="s">
        <v>1480</v>
      </c>
      <c r="O2" s="222" t="s">
        <v>1516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display="approver@company.org" xr:uid="{C025F8F4-2D9E-4742-B0BA-74499DC9756C}"/>
    <hyperlink ref="L2" r:id="rId2" display="owner@company.org" xr:uid="{6F19F955-8659-4C8B-B0AE-34A80478E893}"/>
    <hyperlink ref="M2" r:id="rId3" display="requester@company.org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E16" sqref="E16"/>
    </sheetView>
  </sheetViews>
  <sheetFormatPr defaultColWidth="9.140625" defaultRowHeight="12.75"/>
  <cols>
    <col min="1" max="1" width="33.85546875" style="235" customWidth="1"/>
    <col min="2" max="2" width="17.85546875" style="247" bestFit="1" customWidth="1"/>
    <col min="3" max="3" width="36.140625" style="229" customWidth="1"/>
    <col min="4" max="4" width="18.140625" style="229" customWidth="1"/>
    <col min="5" max="5" width="26" style="229" customWidth="1"/>
    <col min="6" max="6" width="8.5703125" style="235" bestFit="1" customWidth="1"/>
    <col min="7" max="7" width="15.5703125" style="235" bestFit="1" customWidth="1"/>
    <col min="8" max="8" width="5.7109375" style="229" bestFit="1" customWidth="1"/>
    <col min="9" max="9" width="20.42578125" style="229" bestFit="1" customWidth="1"/>
    <col min="10" max="10" width="10.7109375" style="229" bestFit="1" customWidth="1"/>
    <col min="11" max="11" width="5.7109375" style="229" bestFit="1" customWidth="1"/>
    <col min="12" max="12" width="8.5703125" style="229" bestFit="1" customWidth="1"/>
    <col min="13" max="13" width="13.7109375" style="229" bestFit="1" customWidth="1"/>
    <col min="14" max="14" width="10.140625" style="229" bestFit="1" customWidth="1"/>
    <col min="15" max="15" width="3.85546875" style="229" bestFit="1" customWidth="1"/>
    <col min="16" max="16" width="18.42578125" style="229" bestFit="1" customWidth="1"/>
    <col min="17" max="17" width="21.140625" style="229" bestFit="1" customWidth="1"/>
    <col min="18" max="18" width="4.7109375" style="229" bestFit="1" customWidth="1"/>
    <col min="19" max="19" width="8.140625" style="229" bestFit="1" customWidth="1"/>
    <col min="20" max="16384" width="9.140625" style="235"/>
  </cols>
  <sheetData>
    <row r="1" spans="1:19" s="238" customFormat="1" ht="188.65" customHeight="1">
      <c r="A1" s="236" t="s">
        <v>1907</v>
      </c>
      <c r="B1" s="248" t="s">
        <v>1508</v>
      </c>
      <c r="C1" s="226" t="s">
        <v>1904</v>
      </c>
      <c r="D1" s="226" t="s">
        <v>1905</v>
      </c>
      <c r="E1" s="226" t="s">
        <v>1906</v>
      </c>
      <c r="F1" s="236" t="s">
        <v>1902</v>
      </c>
      <c r="G1" s="236" t="s">
        <v>1903</v>
      </c>
      <c r="H1" s="237" t="s">
        <v>940</v>
      </c>
      <c r="I1" s="237" t="s">
        <v>1443</v>
      </c>
      <c r="J1" s="237" t="s">
        <v>1447</v>
      </c>
      <c r="K1" s="237" t="s">
        <v>1451</v>
      </c>
      <c r="L1" s="237" t="s">
        <v>1455</v>
      </c>
      <c r="M1" s="237" t="s">
        <v>1459</v>
      </c>
      <c r="N1" s="237" t="s">
        <v>1463</v>
      </c>
      <c r="O1" s="237" t="s">
        <v>1467</v>
      </c>
      <c r="P1" s="237" t="s">
        <v>8</v>
      </c>
      <c r="Q1" s="237" t="s">
        <v>1866</v>
      </c>
      <c r="R1" s="237" t="s">
        <v>1474</v>
      </c>
      <c r="S1" s="237" t="s">
        <v>1477</v>
      </c>
    </row>
    <row r="2" spans="1:19">
      <c r="A2" s="246" t="str">
        <f>LOWER(_xlfn.CONCAT(VLOOKUP($A$1,NamingKeys!$A$3:$F$89,2,FALSE),"-",Company_Tag,"-",$H2,"-",$O2,"-",PrimaryRegionTag,"-",TEXT(ROW()-1,"00")))</f>
        <v>sqlmi-qqq-adap-prd-eus-01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29" t="str">
        <f>LOWER(_xlfn.CONCAT("rg-",Company_Tag,"-network-",envTag,"-",PrimaryRegionTag))</f>
        <v>rg-qqq-network-prd-eus</v>
      </c>
      <c r="D2" s="229" t="str">
        <f>LOWER(_xlfn.CONCAT("vnet-",Company_Tag,"-",envTag,"-",PrimaryRegionTag))</f>
        <v>vnet-qqq-prd-eus</v>
      </c>
      <c r="E2" s="229" t="str">
        <f>LOWER(_xlfn.CONCAT("snet-",Company_Tag,"-",envTag,"-",PrimaryRegionTag,,"-sqlmi"))</f>
        <v>snet-qqq-prd-eus-sqlmi</v>
      </c>
      <c r="F2" s="235" t="s">
        <v>872</v>
      </c>
      <c r="G2" s="235" t="s">
        <v>873</v>
      </c>
      <c r="H2" s="222" t="s">
        <v>820</v>
      </c>
      <c r="I2" s="239" t="s">
        <v>2045</v>
      </c>
      <c r="J2" s="230" t="s">
        <v>1517</v>
      </c>
      <c r="K2" s="222" t="s">
        <v>824</v>
      </c>
      <c r="L2" s="222" t="s">
        <v>1478</v>
      </c>
      <c r="M2" s="222" t="s">
        <v>1479</v>
      </c>
      <c r="N2" s="222" t="s">
        <v>1515</v>
      </c>
      <c r="O2" s="222" t="s">
        <v>2034</v>
      </c>
      <c r="P2" s="239" t="s">
        <v>2046</v>
      </c>
      <c r="Q2" s="239" t="s">
        <v>821</v>
      </c>
      <c r="R2" s="222" t="s">
        <v>1480</v>
      </c>
      <c r="S2" s="222" t="s">
        <v>1516</v>
      </c>
    </row>
  </sheetData>
  <dataValidations count="4"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display="approver@company.org" xr:uid="{6AFE3BB8-BCF3-42E8-8493-F0C37B8AE8D2}"/>
    <hyperlink ref="P2" r:id="rId2" display="owner@company.org" xr:uid="{19736EA0-6F34-42EC-AD62-6F79A62DDB5B}"/>
    <hyperlink ref="Q2" r:id="rId3" display="requester@company.org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L2" sqref="L2"/>
    </sheetView>
  </sheetViews>
  <sheetFormatPr defaultColWidth="9.140625" defaultRowHeight="12.75"/>
  <cols>
    <col min="1" max="1" width="19.5703125" style="245" customWidth="1"/>
    <col min="2" max="2" width="35" style="247" customWidth="1"/>
    <col min="3" max="3" width="21" style="255" customWidth="1"/>
    <col min="4" max="4" width="5" style="243" bestFit="1" customWidth="1"/>
    <col min="5" max="5" width="6.28515625" style="244" bestFit="1" customWidth="1"/>
    <col min="6" max="6" width="25.140625" style="244" bestFit="1" customWidth="1"/>
    <col min="7" max="7" width="3.85546875" style="244" bestFit="1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3"/>
  </cols>
  <sheetData>
    <row r="1" spans="1:16" s="183" customFormat="1" ht="125.1" customHeight="1">
      <c r="A1" s="240" t="s">
        <v>1513</v>
      </c>
      <c r="B1" s="248" t="s">
        <v>1508</v>
      </c>
      <c r="C1" s="254" t="s">
        <v>1509</v>
      </c>
      <c r="D1" s="240" t="s">
        <v>1514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1866</v>
      </c>
      <c r="O1" s="242" t="s">
        <v>1474</v>
      </c>
      <c r="P1" s="242" t="s">
        <v>1477</v>
      </c>
    </row>
    <row r="2" spans="1:16" ht="15">
      <c r="A2" s="243" t="s">
        <v>1330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stgqqqadapprdeus01</v>
      </c>
      <c r="D2" s="243" t="s">
        <v>1328</v>
      </c>
      <c r="E2" s="222" t="s">
        <v>820</v>
      </c>
      <c r="F2" s="223" t="s">
        <v>2045</v>
      </c>
      <c r="G2" s="224" t="s">
        <v>1867</v>
      </c>
      <c r="H2" s="222" t="s">
        <v>824</v>
      </c>
      <c r="I2" s="222" t="s">
        <v>1478</v>
      </c>
      <c r="J2" s="222" t="s">
        <v>1479</v>
      </c>
      <c r="K2" s="222" t="s">
        <v>1515</v>
      </c>
      <c r="L2" s="222" t="s">
        <v>2034</v>
      </c>
      <c r="M2" s="223" t="s">
        <v>2046</v>
      </c>
      <c r="N2" s="223" t="s">
        <v>821</v>
      </c>
      <c r="O2" s="222" t="s">
        <v>1480</v>
      </c>
      <c r="P2" s="222" t="s">
        <v>1516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display="approver@company.org" xr:uid="{0D072E6F-470B-4B7F-A69B-C079163F0968}"/>
    <hyperlink ref="M2" r:id="rId2" display="owner@company.org" xr:uid="{BD1C0D51-1BE3-4F5C-879D-CBA6C7EE4E4C}"/>
    <hyperlink ref="N2" r:id="rId3" display="requester@company.org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L2" sqref="L2"/>
    </sheetView>
  </sheetViews>
  <sheetFormatPr defaultColWidth="9.140625" defaultRowHeight="12.75"/>
  <cols>
    <col min="1" max="1" width="7" style="255" bestFit="1" customWidth="1"/>
    <col min="2" max="2" width="17.85546875" style="247" bestFit="1" customWidth="1"/>
    <col min="3" max="3" width="22.28515625" style="255" customWidth="1"/>
    <col min="4" max="4" width="5" style="243" bestFit="1" customWidth="1"/>
    <col min="5" max="5" width="5.7109375" style="244" bestFit="1" customWidth="1"/>
    <col min="6" max="6" width="24" style="244" bestFit="1" customWidth="1"/>
    <col min="7" max="7" width="3.7109375" style="244" bestFit="1" customWidth="1"/>
    <col min="8" max="8" width="5.7109375" style="244" bestFit="1" customWidth="1"/>
    <col min="9" max="9" width="8.5703125" style="244" bestFit="1" customWidth="1"/>
    <col min="10" max="10" width="13.7109375" style="244" bestFit="1" customWidth="1"/>
    <col min="11" max="11" width="10.140625" style="244" bestFit="1" customWidth="1"/>
    <col min="12" max="12" width="4.140625" style="244" bestFit="1" customWidth="1"/>
    <col min="13" max="13" width="21.5703125" style="244" bestFit="1" customWidth="1"/>
    <col min="14" max="14" width="24.85546875" style="244" bestFit="1" customWidth="1"/>
    <col min="15" max="15" width="4.7109375" style="244" bestFit="1" customWidth="1"/>
    <col min="16" max="16" width="10.140625" style="244" bestFit="1" customWidth="1"/>
    <col min="17" max="16384" width="9.140625" style="243"/>
  </cols>
  <sheetData>
    <row r="1" spans="1:16" ht="125.1" customHeight="1">
      <c r="A1" s="254" t="s">
        <v>1331</v>
      </c>
      <c r="B1" s="248" t="s">
        <v>1508</v>
      </c>
      <c r="C1" s="254" t="s">
        <v>1509</v>
      </c>
      <c r="D1" s="240" t="s">
        <v>1327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1866</v>
      </c>
      <c r="O1" s="242" t="s">
        <v>1474</v>
      </c>
      <c r="P1" s="242" t="s">
        <v>1477</v>
      </c>
    </row>
    <row r="2" spans="1:16" ht="15">
      <c r="A2" s="255" t="s">
        <v>1332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stgqqqadapprdeus01</v>
      </c>
      <c r="D2" s="243" t="s">
        <v>1328</v>
      </c>
      <c r="E2" s="222" t="s">
        <v>820</v>
      </c>
      <c r="F2" s="223" t="s">
        <v>2045</v>
      </c>
      <c r="G2" s="224" t="s">
        <v>1867</v>
      </c>
      <c r="H2" s="222" t="s">
        <v>824</v>
      </c>
      <c r="I2" s="222" t="s">
        <v>1478</v>
      </c>
      <c r="J2" s="222" t="s">
        <v>1479</v>
      </c>
      <c r="K2" s="222" t="s">
        <v>1515</v>
      </c>
      <c r="L2" s="222" t="s">
        <v>2034</v>
      </c>
      <c r="M2" s="223" t="s">
        <v>2046</v>
      </c>
      <c r="N2" s="223" t="s">
        <v>821</v>
      </c>
      <c r="O2" s="222" t="s">
        <v>1480</v>
      </c>
      <c r="P2" s="222" t="s">
        <v>1516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display="approver@company.org" xr:uid="{74D21C4D-CBAE-4D4D-A4E9-DACAF8EC7EBA}"/>
    <hyperlink ref="M2" r:id="rId2" display="owner@company.org" xr:uid="{A6E3A08A-532A-4D45-AEA2-0A7F91F31E99}"/>
    <hyperlink ref="N2" r:id="rId3" display="requester@company.org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E1" sqref="E1:E1048576"/>
    </sheetView>
  </sheetViews>
  <sheetFormatPr defaultColWidth="9.140625" defaultRowHeight="12.75"/>
  <cols>
    <col min="1" max="1" width="28.85546875" style="247" customWidth="1"/>
    <col min="2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>
      <c r="A1" s="248" t="s">
        <v>1870</v>
      </c>
      <c r="B1" s="241" t="s">
        <v>1872</v>
      </c>
      <c r="C1" s="241" t="s">
        <v>1873</v>
      </c>
      <c r="D1" s="241" t="s">
        <v>1874</v>
      </c>
      <c r="E1" s="248" t="s">
        <v>1508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1866</v>
      </c>
      <c r="P1" s="242" t="s">
        <v>1474</v>
      </c>
      <c r="Q1" s="242" t="s">
        <v>1477</v>
      </c>
    </row>
    <row r="2" spans="1:17" ht="1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ehns-qqq-adap-prd-eus</v>
      </c>
      <c r="B2" s="244" t="s">
        <v>29</v>
      </c>
      <c r="C2" s="244" t="s">
        <v>29</v>
      </c>
      <c r="D2" s="244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rg-qqq-adap-prd-eus</v>
      </c>
      <c r="F2" s="222" t="s">
        <v>820</v>
      </c>
      <c r="G2" s="223" t="s">
        <v>2045</v>
      </c>
      <c r="H2" s="224" t="s">
        <v>1517</v>
      </c>
      <c r="I2" s="222" t="s">
        <v>824</v>
      </c>
      <c r="J2" s="222" t="s">
        <v>1478</v>
      </c>
      <c r="K2" s="222" t="s">
        <v>1479</v>
      </c>
      <c r="L2" s="222" t="s">
        <v>1515</v>
      </c>
      <c r="M2" s="222" t="s">
        <v>2034</v>
      </c>
      <c r="N2" s="223" t="s">
        <v>2046</v>
      </c>
      <c r="O2" s="223" t="s">
        <v>821</v>
      </c>
      <c r="P2" s="222" t="s">
        <v>1480</v>
      </c>
      <c r="Q2" s="222" t="s">
        <v>1516</v>
      </c>
    </row>
  </sheetData>
  <phoneticPr fontId="17" type="noConversion"/>
  <dataValidations count="4">
    <dataValidation type="list" allowBlank="1" showInputMessage="1" showErrorMessage="1" sqref="K2" xr:uid="{295D53BC-E910-4B16-A784-107F61ABB804}">
      <formula1>DisasterRecovery</formula1>
    </dataValidation>
    <dataValidation type="list" allowBlank="1" showInputMessage="1" showErrorMessage="1" sqref="I2" xr:uid="{B2B6681F-FE1C-45FE-9697-6032B457F795}">
      <formula1>BusinessUnit</formula1>
    </dataValidation>
    <dataValidation type="list" allowBlank="1" showInputMessage="1" showErrorMessage="1" sqref="P2" xr:uid="{E1B98BF3-2B34-4EB5-B787-9DE48B56699F}">
      <formula1>ServiceClass</formula1>
    </dataValidation>
    <dataValidation type="list" allowBlank="1" showInputMessage="1" showErrorMessage="1" sqref="M2" xr:uid="{C9E12DAE-934A-4232-A157-61158FCA0860}">
      <formula1>Environment</formula1>
    </dataValidation>
  </dataValidations>
  <hyperlinks>
    <hyperlink ref="G2" r:id="rId1" display="approver@company.org" xr:uid="{1322733A-ED6C-4B22-A811-80A9E5E98A6E}"/>
    <hyperlink ref="N2" r:id="rId2" display="owner@company.org" xr:uid="{07A4BD32-9FCD-47C9-8F9D-615EB8E9C34C}"/>
    <hyperlink ref="O2" r:id="rId3" display="requester@company.org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3" sqref="M3"/>
    </sheetView>
  </sheetViews>
  <sheetFormatPr defaultColWidth="9.140625" defaultRowHeight="12.75"/>
  <cols>
    <col min="1" max="1" width="28.85546875" style="247" customWidth="1"/>
    <col min="2" max="2" width="39" style="247" customWidth="1"/>
    <col min="3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>
      <c r="A1" s="248" t="s">
        <v>1875</v>
      </c>
      <c r="B1" s="248" t="s">
        <v>1870</v>
      </c>
      <c r="C1" s="248" t="s">
        <v>1877</v>
      </c>
      <c r="D1" s="248" t="s">
        <v>1876</v>
      </c>
      <c r="E1" s="248" t="s">
        <v>1508</v>
      </c>
      <c r="F1" s="259" t="s">
        <v>940</v>
      </c>
      <c r="G1" s="259" t="s">
        <v>1443</v>
      </c>
      <c r="H1" s="259" t="s">
        <v>1447</v>
      </c>
      <c r="I1" s="259" t="s">
        <v>1451</v>
      </c>
      <c r="J1" s="259" t="s">
        <v>1455</v>
      </c>
      <c r="K1" s="259" t="s">
        <v>1459</v>
      </c>
      <c r="L1" s="259" t="s">
        <v>1463</v>
      </c>
      <c r="M1" s="259" t="s">
        <v>1467</v>
      </c>
      <c r="N1" s="259" t="s">
        <v>8</v>
      </c>
      <c r="O1" s="259" t="s">
        <v>1866</v>
      </c>
      <c r="P1" s="259" t="s">
        <v>1474</v>
      </c>
      <c r="Q1" s="259" t="s">
        <v>1477</v>
      </c>
    </row>
    <row r="2" spans="1:17" ht="1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eh-qqq-adap-prd-eus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ehns-qqq-adap-prd-eus</v>
      </c>
      <c r="C2" s="247" t="s">
        <v>1895</v>
      </c>
      <c r="D2" s="247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rg-qqq-adap-prd-eus</v>
      </c>
      <c r="F2" s="252" t="s">
        <v>820</v>
      </c>
      <c r="G2" s="260" t="s">
        <v>2045</v>
      </c>
      <c r="H2" s="261" t="s">
        <v>1517</v>
      </c>
      <c r="I2" s="252" t="s">
        <v>824</v>
      </c>
      <c r="J2" s="252" t="s">
        <v>1478</v>
      </c>
      <c r="K2" s="252" t="s">
        <v>1479</v>
      </c>
      <c r="L2" s="252" t="s">
        <v>1515</v>
      </c>
      <c r="M2" s="252" t="s">
        <v>2034</v>
      </c>
      <c r="N2" s="260" t="s">
        <v>2046</v>
      </c>
      <c r="O2" s="260" t="s">
        <v>821</v>
      </c>
      <c r="P2" s="252" t="s">
        <v>1480</v>
      </c>
      <c r="Q2" s="252" t="s">
        <v>1516</v>
      </c>
    </row>
  </sheetData>
  <hyperlinks>
    <hyperlink ref="G2" r:id="rId1" display="approver@company.org" xr:uid="{18ADDBF5-DD2B-4B6A-BF3A-2737C3B52C6C}"/>
    <hyperlink ref="N2" r:id="rId2" display="owner@company.org" xr:uid="{4C604637-39BC-4DBB-8294-6462665B0CCA}"/>
    <hyperlink ref="O2" r:id="rId3" display="requester@company.org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40625" defaultRowHeight="12.75"/>
  <cols>
    <col min="1" max="1" width="30.7109375" style="247" customWidth="1"/>
    <col min="2" max="2" width="24.28515625" style="247" customWidth="1"/>
    <col min="3" max="3" width="21" style="247" customWidth="1"/>
    <col min="4" max="4" width="6.28515625" style="244" bestFit="1" customWidth="1"/>
    <col min="5" max="5" width="25.140625" style="244" bestFit="1" customWidth="1"/>
    <col min="6" max="6" width="16.7109375" style="244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4"/>
  </cols>
  <sheetData>
    <row r="1" spans="1:15" s="228" customFormat="1" ht="163.5" customHeight="1">
      <c r="A1" s="248" t="s">
        <v>1884</v>
      </c>
      <c r="B1" s="248" t="s">
        <v>1885</v>
      </c>
      <c r="C1" s="248" t="s">
        <v>1508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1866</v>
      </c>
      <c r="N1" s="242" t="s">
        <v>1474</v>
      </c>
      <c r="O1" s="242" t="s">
        <v>1477</v>
      </c>
    </row>
    <row r="2" spans="1:15" ht="15">
      <c r="A2" s="247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sb-qqq-adap-prd-eus</v>
      </c>
      <c r="B2" s="247" t="s">
        <v>30</v>
      </c>
      <c r="C2" s="247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D2" s="222" t="s">
        <v>820</v>
      </c>
      <c r="E2" s="223" t="s">
        <v>2045</v>
      </c>
      <c r="F2" s="224" t="s">
        <v>1517</v>
      </c>
      <c r="G2" s="222" t="s">
        <v>824</v>
      </c>
      <c r="H2" s="222" t="s">
        <v>1478</v>
      </c>
      <c r="I2" s="222" t="s">
        <v>1479</v>
      </c>
      <c r="J2" s="222" t="s">
        <v>1515</v>
      </c>
      <c r="K2" s="222" t="s">
        <v>2034</v>
      </c>
      <c r="L2" s="223" t="s">
        <v>2046</v>
      </c>
      <c r="M2" s="223" t="s">
        <v>821</v>
      </c>
      <c r="N2" s="222" t="s">
        <v>1480</v>
      </c>
      <c r="O2" s="222" t="s">
        <v>1516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display="approver@company.org" xr:uid="{BDC36E84-61E7-4131-AA9F-FBE45F272854}"/>
    <hyperlink ref="L2" r:id="rId2" display="owner@company.org" xr:uid="{724BDDF8-3CBD-446B-AF8F-4FD5D9A7DF2A}"/>
    <hyperlink ref="M2" r:id="rId3" display="requester@company.org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/>
  <cols>
    <col min="1" max="1" width="32.28515625" style="250" customWidth="1"/>
    <col min="2" max="3" width="24.28515625" style="247" customWidth="1"/>
    <col min="4" max="4" width="24.28515625" style="244" customWidth="1"/>
    <col min="5" max="5" width="25.855468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63.5" customHeight="1">
      <c r="A1" s="249" t="s">
        <v>1886</v>
      </c>
      <c r="B1" s="248" t="s">
        <v>1884</v>
      </c>
      <c r="C1" s="248" t="s">
        <v>1887</v>
      </c>
      <c r="D1" s="241" t="s">
        <v>1888</v>
      </c>
      <c r="E1" s="248" t="s">
        <v>1508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1866</v>
      </c>
      <c r="P1" s="242" t="s">
        <v>1474</v>
      </c>
      <c r="Q1" s="242" t="s">
        <v>1477</v>
      </c>
    </row>
    <row r="2" spans="1:17" ht="15">
      <c r="A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sbt-qqq-adap-prd-eus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sb-qqq-adap-prd-eus</v>
      </c>
      <c r="C2" s="247" t="s">
        <v>1889</v>
      </c>
      <c r="D2" s="244" t="s">
        <v>1890</v>
      </c>
      <c r="E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F2" s="222" t="s">
        <v>820</v>
      </c>
      <c r="G2" s="223" t="s">
        <v>2045</v>
      </c>
      <c r="H2" s="224" t="s">
        <v>1517</v>
      </c>
      <c r="I2" s="222" t="s">
        <v>824</v>
      </c>
      <c r="J2" s="222" t="s">
        <v>1478</v>
      </c>
      <c r="K2" s="222" t="s">
        <v>1479</v>
      </c>
      <c r="L2" s="222" t="s">
        <v>1515</v>
      </c>
      <c r="M2" s="222" t="s">
        <v>2034</v>
      </c>
      <c r="N2" s="223" t="s">
        <v>2046</v>
      </c>
      <c r="O2" s="223" t="s">
        <v>821</v>
      </c>
      <c r="P2" s="222" t="s">
        <v>1480</v>
      </c>
      <c r="Q2" s="222" t="s">
        <v>1516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display="approver@company.org" xr:uid="{1347E63C-0B2B-40D4-AA15-03E89CF8871D}"/>
    <hyperlink ref="N2" r:id="rId2" display="owner@company.org" xr:uid="{5D0D89AB-4C78-437C-85AA-0E28A38808E8}"/>
    <hyperlink ref="O2" r:id="rId3" display="requester@company.org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40625" defaultRowHeight="12.75"/>
  <cols>
    <col min="1" max="1" width="24" style="247" customWidth="1"/>
    <col min="2" max="2" width="32.28515625" style="247" customWidth="1"/>
    <col min="3" max="3" width="24.28515625" style="247" customWidth="1"/>
    <col min="4" max="4" width="22.7109375" style="247" customWidth="1"/>
    <col min="5" max="5" width="6.28515625" style="244" bestFit="1" customWidth="1"/>
    <col min="6" max="6" width="25.140625" style="244" bestFit="1" customWidth="1"/>
    <col min="7" max="7" width="16.7109375" style="244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4"/>
  </cols>
  <sheetData>
    <row r="1" spans="1:16" s="228" customFormat="1" ht="163.5" customHeight="1">
      <c r="A1" s="248" t="s">
        <v>1894</v>
      </c>
      <c r="B1" s="248" t="s">
        <v>1886</v>
      </c>
      <c r="C1" s="248" t="s">
        <v>1884</v>
      </c>
      <c r="D1" s="248" t="s">
        <v>1508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1866</v>
      </c>
      <c r="O1" s="242" t="s">
        <v>1474</v>
      </c>
      <c r="P1" s="242" t="s">
        <v>1477</v>
      </c>
    </row>
    <row r="2" spans="1:16" ht="15">
      <c r="A2" s="256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sbts-qqq-adap-prd-eus</v>
      </c>
      <c r="B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sbt-qqq-adap-prd-eus</v>
      </c>
      <c r="C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sb-qqq-adap-prd-eus</v>
      </c>
      <c r="D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rg-qqq-adap-prd-eus</v>
      </c>
      <c r="E2" s="222" t="s">
        <v>820</v>
      </c>
      <c r="F2" s="223" t="s">
        <v>2045</v>
      </c>
      <c r="G2" s="224" t="s">
        <v>1517</v>
      </c>
      <c r="H2" s="222" t="s">
        <v>824</v>
      </c>
      <c r="I2" s="222" t="s">
        <v>1478</v>
      </c>
      <c r="J2" s="222" t="s">
        <v>1479</v>
      </c>
      <c r="K2" s="222" t="s">
        <v>1515</v>
      </c>
      <c r="L2" s="222" t="s">
        <v>2034</v>
      </c>
      <c r="M2" s="223" t="s">
        <v>2046</v>
      </c>
      <c r="N2" s="223" t="s">
        <v>821</v>
      </c>
      <c r="O2" s="222" t="s">
        <v>1480</v>
      </c>
      <c r="P2" s="222" t="s">
        <v>1516</v>
      </c>
    </row>
  </sheetData>
  <dataValidations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display="approver@company.org" xr:uid="{01E66C89-153B-46CA-8985-9FBF914D4538}"/>
    <hyperlink ref="M2" r:id="rId2" display="owner@company.org" xr:uid="{5CB7EEC5-3B5E-4DFF-80E5-E49D468D929B}"/>
    <hyperlink ref="N2" r:id="rId3" display="requester@company.org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40625" defaultRowHeight="12.75"/>
  <cols>
    <col min="1" max="2" width="32.28515625" style="247" customWidth="1"/>
    <col min="3" max="4" width="24.28515625" style="247" customWidth="1"/>
    <col min="5" max="5" width="18.71093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73.25" customHeight="1">
      <c r="A1" s="248" t="s">
        <v>1896</v>
      </c>
      <c r="B1" s="248" t="s">
        <v>1886</v>
      </c>
      <c r="C1" s="248" t="s">
        <v>1884</v>
      </c>
      <c r="D1" s="248" t="s">
        <v>1897</v>
      </c>
      <c r="E1" s="248" t="s">
        <v>1508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1866</v>
      </c>
      <c r="P1" s="242" t="s">
        <v>1474</v>
      </c>
      <c r="Q1" s="242" t="s">
        <v>1477</v>
      </c>
    </row>
    <row r="2" spans="1:17" ht="1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sbtar-qqq-adap-prd-eus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sbt-qqq-adap-prd-eus</v>
      </c>
      <c r="C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sb-qqq-adap-prd-eus</v>
      </c>
      <c r="D2" s="247" t="s">
        <v>1898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rg-qqq-adap-prd-eus</v>
      </c>
      <c r="F2" s="222" t="s">
        <v>820</v>
      </c>
      <c r="G2" s="223" t="s">
        <v>2045</v>
      </c>
      <c r="H2" s="224" t="s">
        <v>1517</v>
      </c>
      <c r="I2" s="222" t="s">
        <v>824</v>
      </c>
      <c r="J2" s="222" t="s">
        <v>1478</v>
      </c>
      <c r="K2" s="222" t="s">
        <v>1479</v>
      </c>
      <c r="L2" s="222" t="s">
        <v>1515</v>
      </c>
      <c r="M2" s="222" t="s">
        <v>2034</v>
      </c>
      <c r="N2" s="223" t="s">
        <v>2046</v>
      </c>
      <c r="O2" s="223" t="s">
        <v>821</v>
      </c>
      <c r="P2" s="222" t="s">
        <v>1480</v>
      </c>
      <c r="Q2" s="222" t="s">
        <v>1516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display="approver@company.org" xr:uid="{8D364061-BBEB-4792-B223-3C1B01D1DFAB}"/>
    <hyperlink ref="N2" r:id="rId2" display="owner@company.org" xr:uid="{E7F25B68-7E4E-467C-8582-2EE64E523C5F}"/>
    <hyperlink ref="O2" r:id="rId3" display="requester@company.org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40625" defaultRowHeight="12.75"/>
  <cols>
    <col min="1" max="1" width="32.42578125" style="179" customWidth="1"/>
    <col min="2" max="2" width="20.140625" style="179"/>
    <col min="3" max="3" width="21.7109375" style="179" customWidth="1"/>
    <col min="4" max="4" width="20.140625" style="179"/>
    <col min="5" max="5" width="43.1406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20.140625" style="179"/>
  </cols>
  <sheetData>
    <row r="1" spans="1:13" ht="90.75">
      <c r="A1" s="181" t="s">
        <v>7</v>
      </c>
      <c r="B1" s="181" t="s">
        <v>890</v>
      </c>
      <c r="C1" s="181" t="s">
        <v>218</v>
      </c>
      <c r="D1" s="181" t="s">
        <v>436</v>
      </c>
      <c r="E1" s="176" t="s">
        <v>1283</v>
      </c>
      <c r="F1" s="176" t="s">
        <v>1285</v>
      </c>
      <c r="G1" s="176" t="s">
        <v>1286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899</v>
      </c>
    </row>
    <row r="2" spans="1:13">
      <c r="A2" s="179" t="s">
        <v>444</v>
      </c>
      <c r="C2" t="s">
        <v>880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827</v>
      </c>
      <c r="K2" t="s">
        <v>27</v>
      </c>
      <c r="L2" t="s">
        <v>828</v>
      </c>
    </row>
    <row r="3" spans="1:13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827</v>
      </c>
      <c r="K3" t="s">
        <v>27</v>
      </c>
      <c r="L3" t="s">
        <v>828</v>
      </c>
    </row>
    <row r="4" spans="1:13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827</v>
      </c>
      <c r="K4" t="s">
        <v>27</v>
      </c>
      <c r="L4" t="s">
        <v>828</v>
      </c>
    </row>
    <row r="5" spans="1:13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827</v>
      </c>
      <c r="K5" t="s">
        <v>27</v>
      </c>
      <c r="L5" t="s">
        <v>828</v>
      </c>
    </row>
    <row r="6" spans="1:13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827</v>
      </c>
      <c r="K6" t="s">
        <v>27</v>
      </c>
      <c r="L6" t="s">
        <v>828</v>
      </c>
    </row>
    <row r="7" spans="1:13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827</v>
      </c>
      <c r="K7" t="s">
        <v>27</v>
      </c>
      <c r="L7" t="s">
        <v>828</v>
      </c>
    </row>
    <row r="8" spans="1:13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827</v>
      </c>
      <c r="K8" t="s">
        <v>27</v>
      </c>
      <c r="L8" t="s">
        <v>828</v>
      </c>
    </row>
    <row r="9" spans="1:13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827</v>
      </c>
      <c r="K9" t="s">
        <v>27</v>
      </c>
      <c r="L9" t="s">
        <v>828</v>
      </c>
    </row>
    <row r="10" spans="1:13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827</v>
      </c>
      <c r="K10" t="s">
        <v>27</v>
      </c>
      <c r="L10" t="s">
        <v>828</v>
      </c>
    </row>
    <row r="11" spans="1:13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827</v>
      </c>
      <c r="K11" t="s">
        <v>27</v>
      </c>
      <c r="L11" t="s">
        <v>828</v>
      </c>
    </row>
    <row r="12" spans="1:13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827</v>
      </c>
      <c r="K12" t="s">
        <v>27</v>
      </c>
      <c r="L12" t="s">
        <v>828</v>
      </c>
    </row>
    <row r="13" spans="1:13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827</v>
      </c>
      <c r="K13" t="s">
        <v>27</v>
      </c>
      <c r="L13" t="s">
        <v>828</v>
      </c>
    </row>
    <row r="14" spans="1:13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827</v>
      </c>
      <c r="K14" t="s">
        <v>27</v>
      </c>
      <c r="L14" t="s">
        <v>828</v>
      </c>
    </row>
    <row r="15" spans="1:13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827</v>
      </c>
      <c r="K15" t="s">
        <v>27</v>
      </c>
      <c r="L15" t="s">
        <v>828</v>
      </c>
    </row>
    <row r="16" spans="1:13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827</v>
      </c>
      <c r="K16" t="s">
        <v>27</v>
      </c>
      <c r="L16" t="s">
        <v>828</v>
      </c>
    </row>
    <row r="17" spans="1:12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827</v>
      </c>
      <c r="K17" t="s">
        <v>27</v>
      </c>
      <c r="L17" t="s">
        <v>828</v>
      </c>
    </row>
    <row r="18" spans="1:12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827</v>
      </c>
      <c r="K18" t="s">
        <v>27</v>
      </c>
      <c r="L18" t="s">
        <v>828</v>
      </c>
    </row>
    <row r="19" spans="1:12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827</v>
      </c>
      <c r="K19" t="s">
        <v>27</v>
      </c>
      <c r="L19" t="s">
        <v>828</v>
      </c>
    </row>
    <row r="20" spans="1:12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827</v>
      </c>
      <c r="K20" t="s">
        <v>27</v>
      </c>
      <c r="L20" t="s">
        <v>828</v>
      </c>
    </row>
    <row r="21" spans="1:12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827</v>
      </c>
      <c r="K21" t="s">
        <v>27</v>
      </c>
      <c r="L21" t="s">
        <v>828</v>
      </c>
    </row>
    <row r="22" spans="1:12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827</v>
      </c>
      <c r="K22" t="s">
        <v>27</v>
      </c>
      <c r="L22" t="s">
        <v>828</v>
      </c>
    </row>
    <row r="23" spans="1:12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827</v>
      </c>
      <c r="K23" t="s">
        <v>27</v>
      </c>
      <c r="L23" t="s">
        <v>828</v>
      </c>
    </row>
    <row r="24" spans="1:12">
      <c r="A24" s="179" t="s">
        <v>1891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827</v>
      </c>
      <c r="K24" t="s">
        <v>27</v>
      </c>
      <c r="L24" t="s">
        <v>828</v>
      </c>
    </row>
    <row r="25" spans="1:12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827</v>
      </c>
      <c r="K25" t="s">
        <v>27</v>
      </c>
      <c r="L25" t="s">
        <v>828</v>
      </c>
    </row>
    <row r="26" spans="1:12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827</v>
      </c>
      <c r="K26" t="s">
        <v>27</v>
      </c>
      <c r="L26" t="s">
        <v>828</v>
      </c>
    </row>
    <row r="27" spans="1:12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827</v>
      </c>
      <c r="K27" t="s">
        <v>27</v>
      </c>
      <c r="L27" t="s">
        <v>828</v>
      </c>
    </row>
    <row r="28" spans="1:12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827</v>
      </c>
      <c r="K28" t="s">
        <v>27</v>
      </c>
      <c r="L28" t="s">
        <v>828</v>
      </c>
    </row>
    <row r="29" spans="1:12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827</v>
      </c>
      <c r="K29" t="s">
        <v>27</v>
      </c>
      <c r="L29" t="s">
        <v>828</v>
      </c>
    </row>
    <row r="30" spans="1:12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827</v>
      </c>
      <c r="K30" t="s">
        <v>27</v>
      </c>
      <c r="L30" t="s">
        <v>828</v>
      </c>
    </row>
    <row r="31" spans="1:12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827</v>
      </c>
      <c r="K31" t="s">
        <v>27</v>
      </c>
      <c r="L31" t="s">
        <v>828</v>
      </c>
    </row>
    <row r="32" spans="1:12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827</v>
      </c>
      <c r="K32" t="s">
        <v>27</v>
      </c>
      <c r="L32" t="s">
        <v>828</v>
      </c>
    </row>
    <row r="33" spans="1:12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827</v>
      </c>
      <c r="K33" t="s">
        <v>27</v>
      </c>
      <c r="L33" t="s">
        <v>828</v>
      </c>
    </row>
    <row r="34" spans="1:12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827</v>
      </c>
      <c r="K34" t="s">
        <v>27</v>
      </c>
      <c r="L34" t="s">
        <v>828</v>
      </c>
    </row>
    <row r="35" spans="1:12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827</v>
      </c>
      <c r="K35" t="s">
        <v>27</v>
      </c>
      <c r="L35" t="s">
        <v>828</v>
      </c>
    </row>
    <row r="36" spans="1:12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827</v>
      </c>
      <c r="K36" t="s">
        <v>27</v>
      </c>
      <c r="L36" t="s">
        <v>828</v>
      </c>
    </row>
    <row r="37" spans="1:12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827</v>
      </c>
      <c r="K37" t="s">
        <v>27</v>
      </c>
      <c r="L37" t="s">
        <v>828</v>
      </c>
    </row>
    <row r="38" spans="1:12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827</v>
      </c>
      <c r="K38" t="s">
        <v>27</v>
      </c>
      <c r="L38" t="s">
        <v>828</v>
      </c>
    </row>
    <row r="39" spans="1:12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827</v>
      </c>
      <c r="K39" t="s">
        <v>27</v>
      </c>
      <c r="L39" t="s">
        <v>828</v>
      </c>
    </row>
    <row r="40" spans="1:12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827</v>
      </c>
      <c r="K40" t="s">
        <v>27</v>
      </c>
      <c r="L40" t="s">
        <v>828</v>
      </c>
    </row>
    <row r="41" spans="1:12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827</v>
      </c>
      <c r="K41" t="s">
        <v>27</v>
      </c>
      <c r="L41" t="s">
        <v>828</v>
      </c>
    </row>
    <row r="42" spans="1:12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827</v>
      </c>
      <c r="K42" t="s">
        <v>27</v>
      </c>
      <c r="L42" t="s">
        <v>828</v>
      </c>
    </row>
    <row r="43" spans="1:12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827</v>
      </c>
      <c r="K43" t="s">
        <v>27</v>
      </c>
      <c r="L43" t="s">
        <v>828</v>
      </c>
    </row>
    <row r="44" spans="1:12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827</v>
      </c>
      <c r="K44" t="s">
        <v>27</v>
      </c>
      <c r="L44" t="s">
        <v>828</v>
      </c>
    </row>
    <row r="45" spans="1:12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827</v>
      </c>
      <c r="K45" t="s">
        <v>27</v>
      </c>
      <c r="L45" t="s">
        <v>828</v>
      </c>
    </row>
    <row r="46" spans="1:12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827</v>
      </c>
      <c r="K46" t="s">
        <v>27</v>
      </c>
      <c r="L46" t="s">
        <v>828</v>
      </c>
    </row>
    <row r="47" spans="1:12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827</v>
      </c>
      <c r="K47" t="s">
        <v>27</v>
      </c>
      <c r="L47" t="s">
        <v>828</v>
      </c>
    </row>
    <row r="48" spans="1:12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827</v>
      </c>
      <c r="K48" t="s">
        <v>27</v>
      </c>
      <c r="L48" t="s">
        <v>828</v>
      </c>
    </row>
    <row r="49" spans="1:12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827</v>
      </c>
      <c r="K49" t="s">
        <v>27</v>
      </c>
      <c r="L49" t="s">
        <v>828</v>
      </c>
    </row>
    <row r="50" spans="1:12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827</v>
      </c>
      <c r="K50" t="s">
        <v>27</v>
      </c>
      <c r="L50" t="s">
        <v>828</v>
      </c>
    </row>
    <row r="51" spans="1:12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827</v>
      </c>
      <c r="K51" t="s">
        <v>27</v>
      </c>
      <c r="L51" t="s">
        <v>828</v>
      </c>
    </row>
    <row r="52" spans="1:12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827</v>
      </c>
      <c r="K52" t="s">
        <v>27</v>
      </c>
      <c r="L52" t="s">
        <v>828</v>
      </c>
    </row>
    <row r="53" spans="1:12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827</v>
      </c>
      <c r="K53" t="s">
        <v>27</v>
      </c>
      <c r="L53" t="s">
        <v>828</v>
      </c>
    </row>
    <row r="54" spans="1:12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827</v>
      </c>
      <c r="K54" t="s">
        <v>27</v>
      </c>
      <c r="L54" t="s">
        <v>828</v>
      </c>
    </row>
    <row r="55" spans="1:12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827</v>
      </c>
      <c r="K55" t="s">
        <v>27</v>
      </c>
      <c r="L55" t="s">
        <v>828</v>
      </c>
    </row>
    <row r="56" spans="1:12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827</v>
      </c>
      <c r="K56" t="s">
        <v>27</v>
      </c>
      <c r="L56" t="s">
        <v>828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2.75"/>
  <cols>
    <col min="1" max="1" width="7.7109375" customWidth="1"/>
    <col min="2" max="2" width="55.85546875" customWidth="1"/>
    <col min="3" max="3" width="38.5703125" customWidth="1"/>
    <col min="4" max="4" width="95.28515625" style="84" customWidth="1"/>
    <col min="5" max="5" width="57.42578125" style="84" customWidth="1"/>
    <col min="6" max="6" width="19.28515625" style="84" customWidth="1"/>
    <col min="7" max="7" width="30.42578125" style="84" customWidth="1"/>
    <col min="8" max="8" width="18.85546875" style="84" customWidth="1"/>
    <col min="9" max="9" width="12.85546875" style="84" customWidth="1"/>
    <col min="10" max="10" width="43.140625" style="173" bestFit="1" customWidth="1"/>
    <col min="11" max="11" width="8" style="174" bestFit="1" customWidth="1"/>
    <col min="12" max="12" width="17.28515625" style="173" bestFit="1" customWidth="1"/>
    <col min="13" max="16" width="6.140625" style="173" customWidth="1"/>
    <col min="17" max="17" width="13.140625" style="173" bestFit="1" customWidth="1"/>
  </cols>
  <sheetData>
    <row r="1" spans="1:18" ht="125.1" customHeight="1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1284</v>
      </c>
      <c r="K1" s="176" t="s">
        <v>1285</v>
      </c>
      <c r="L1" s="176" t="s">
        <v>1286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899</v>
      </c>
    </row>
    <row r="2" spans="1:18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880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827</v>
      </c>
      <c r="P2" t="s">
        <v>27</v>
      </c>
      <c r="Q2" t="s">
        <v>828</v>
      </c>
    </row>
    <row r="3" spans="1:18" ht="25.5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880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827</v>
      </c>
      <c r="P3" t="s">
        <v>27</v>
      </c>
      <c r="Q3" t="s">
        <v>828</v>
      </c>
    </row>
    <row r="4" spans="1:18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880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827</v>
      </c>
      <c r="P4" t="s">
        <v>27</v>
      </c>
      <c r="Q4" t="s">
        <v>828</v>
      </c>
    </row>
    <row r="5" spans="1:18" ht="25.5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880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827</v>
      </c>
      <c r="P5" t="s">
        <v>27</v>
      </c>
      <c r="Q5" t="s">
        <v>828</v>
      </c>
    </row>
    <row r="6" spans="1:18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880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827</v>
      </c>
      <c r="P6" t="s">
        <v>27</v>
      </c>
      <c r="Q6" t="s">
        <v>828</v>
      </c>
    </row>
    <row r="7" spans="1:18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880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827</v>
      </c>
      <c r="P7" t="s">
        <v>27</v>
      </c>
      <c r="Q7" t="s">
        <v>828</v>
      </c>
    </row>
    <row r="8" spans="1:18" ht="25.5">
      <c r="A8" t="s">
        <v>351</v>
      </c>
      <c r="B8" t="s">
        <v>352</v>
      </c>
      <c r="C8" s="84" t="s">
        <v>897</v>
      </c>
      <c r="D8" s="84" t="s">
        <v>1291</v>
      </c>
      <c r="E8" s="84" t="s">
        <v>898</v>
      </c>
      <c r="F8" s="84" t="s">
        <v>218</v>
      </c>
      <c r="G8" s="84" t="s">
        <v>378</v>
      </c>
      <c r="H8" t="s">
        <v>880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827</v>
      </c>
      <c r="P8" t="s">
        <v>27</v>
      </c>
      <c r="Q8" t="s">
        <v>828</v>
      </c>
    </row>
    <row r="9" spans="1:18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880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827</v>
      </c>
      <c r="P9" t="s">
        <v>27</v>
      </c>
      <c r="Q9" t="s">
        <v>828</v>
      </c>
    </row>
    <row r="10" spans="1:18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880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827</v>
      </c>
      <c r="P10" t="s">
        <v>27</v>
      </c>
      <c r="Q10" t="s">
        <v>828</v>
      </c>
    </row>
    <row r="11" spans="1:18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880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827</v>
      </c>
      <c r="P11" t="s">
        <v>27</v>
      </c>
      <c r="Q11" t="s">
        <v>828</v>
      </c>
    </row>
    <row r="12" spans="1:18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880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827</v>
      </c>
      <c r="P12" t="s">
        <v>27</v>
      </c>
      <c r="Q12" t="s">
        <v>828</v>
      </c>
    </row>
    <row r="13" spans="1:18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880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827</v>
      </c>
      <c r="P13" t="s">
        <v>27</v>
      </c>
      <c r="Q13" t="s">
        <v>828</v>
      </c>
    </row>
    <row r="14" spans="1:18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880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827</v>
      </c>
      <c r="P14" t="s">
        <v>27</v>
      </c>
      <c r="Q14" t="s">
        <v>828</v>
      </c>
    </row>
    <row r="15" spans="1:18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880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827</v>
      </c>
      <c r="P15" t="s">
        <v>27</v>
      </c>
      <c r="Q15" t="s">
        <v>828</v>
      </c>
    </row>
    <row r="16" spans="1:18">
      <c r="A16" t="s">
        <v>351</v>
      </c>
      <c r="B16" t="s">
        <v>299</v>
      </c>
      <c r="C16" s="84" t="s">
        <v>235</v>
      </c>
      <c r="D16" s="84" t="s">
        <v>1878</v>
      </c>
      <c r="E16" s="84" t="s">
        <v>392</v>
      </c>
      <c r="F16" s="84" t="s">
        <v>218</v>
      </c>
      <c r="G16" s="84" t="s">
        <v>378</v>
      </c>
      <c r="H16" t="s">
        <v>880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827</v>
      </c>
      <c r="P16" t="s">
        <v>27</v>
      </c>
      <c r="Q16" t="s">
        <v>828</v>
      </c>
    </row>
    <row r="17" spans="1:17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880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827</v>
      </c>
      <c r="P17" t="s">
        <v>27</v>
      </c>
      <c r="Q17" t="s">
        <v>828</v>
      </c>
    </row>
    <row r="18" spans="1:17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880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827</v>
      </c>
      <c r="P18" t="s">
        <v>27</v>
      </c>
      <c r="Q18" t="s">
        <v>828</v>
      </c>
    </row>
    <row r="19" spans="1:17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880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827</v>
      </c>
      <c r="P19" t="s">
        <v>27</v>
      </c>
      <c r="Q19" t="s">
        <v>828</v>
      </c>
    </row>
    <row r="20" spans="1:17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880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827</v>
      </c>
      <c r="P20" t="s">
        <v>27</v>
      </c>
      <c r="Q20" t="s">
        <v>828</v>
      </c>
    </row>
    <row r="21" spans="1:17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880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827</v>
      </c>
      <c r="P21" t="s">
        <v>27</v>
      </c>
      <c r="Q21" t="s">
        <v>828</v>
      </c>
    </row>
    <row r="22" spans="1:17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880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827</v>
      </c>
      <c r="P22" t="s">
        <v>27</v>
      </c>
      <c r="Q22" t="s">
        <v>828</v>
      </c>
    </row>
    <row r="23" spans="1:17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880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827</v>
      </c>
      <c r="P23" t="s">
        <v>27</v>
      </c>
      <c r="Q23" t="s">
        <v>828</v>
      </c>
    </row>
    <row r="24" spans="1:17" ht="25.5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880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827</v>
      </c>
      <c r="P24" t="s">
        <v>27</v>
      </c>
      <c r="Q24" t="s">
        <v>828</v>
      </c>
    </row>
    <row r="25" spans="1:17">
      <c r="A25" t="s">
        <v>351</v>
      </c>
      <c r="B25" t="s">
        <v>1292</v>
      </c>
      <c r="C25" s="84" t="s">
        <v>244</v>
      </c>
      <c r="D25" s="84" t="s">
        <v>1293</v>
      </c>
      <c r="E25" s="84" t="s">
        <v>401</v>
      </c>
      <c r="F25" s="84" t="s">
        <v>218</v>
      </c>
      <c r="G25" s="84" t="s">
        <v>378</v>
      </c>
      <c r="H25" t="s">
        <v>880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827</v>
      </c>
      <c r="P25" t="s">
        <v>27</v>
      </c>
      <c r="Q25" t="s">
        <v>828</v>
      </c>
    </row>
    <row r="26" spans="1:17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880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827</v>
      </c>
      <c r="P26" t="s">
        <v>27</v>
      </c>
      <c r="Q26" t="s">
        <v>828</v>
      </c>
    </row>
    <row r="27" spans="1:17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880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827</v>
      </c>
      <c r="P27" t="s">
        <v>27</v>
      </c>
      <c r="Q27" t="s">
        <v>828</v>
      </c>
    </row>
    <row r="28" spans="1:17" ht="25.5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880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827</v>
      </c>
      <c r="P28" t="s">
        <v>27</v>
      </c>
      <c r="Q28" t="s">
        <v>828</v>
      </c>
    </row>
    <row r="29" spans="1:17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880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827</v>
      </c>
      <c r="P29" t="s">
        <v>27</v>
      </c>
      <c r="Q29" t="s">
        <v>828</v>
      </c>
    </row>
    <row r="30" spans="1:17" ht="25.5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880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827</v>
      </c>
      <c r="P30" t="s">
        <v>27</v>
      </c>
      <c r="Q30" t="s">
        <v>828</v>
      </c>
    </row>
    <row r="31" spans="1:17" ht="25.5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880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827</v>
      </c>
      <c r="P31" t="s">
        <v>27</v>
      </c>
      <c r="Q31" t="s">
        <v>828</v>
      </c>
    </row>
    <row r="32" spans="1:17" ht="25.5">
      <c r="A32" t="s">
        <v>351</v>
      </c>
      <c r="B32" t="s">
        <v>321</v>
      </c>
      <c r="C32" s="84" t="s">
        <v>251</v>
      </c>
      <c r="D32" s="84" t="s">
        <v>1879</v>
      </c>
      <c r="E32" s="84" t="s">
        <v>408</v>
      </c>
      <c r="F32" s="84" t="s">
        <v>218</v>
      </c>
      <c r="G32" s="84" t="s">
        <v>378</v>
      </c>
      <c r="H32" t="s">
        <v>880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827</v>
      </c>
      <c r="P32" t="s">
        <v>27</v>
      </c>
      <c r="Q32" t="s">
        <v>828</v>
      </c>
    </row>
    <row r="33" spans="1:17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880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827</v>
      </c>
      <c r="P33" t="s">
        <v>27</v>
      </c>
      <c r="Q33" t="s">
        <v>828</v>
      </c>
    </row>
    <row r="34" spans="1:17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880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827</v>
      </c>
      <c r="P34" t="s">
        <v>27</v>
      </c>
      <c r="Q34" t="s">
        <v>828</v>
      </c>
    </row>
    <row r="35" spans="1:17" ht="25.5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880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827</v>
      </c>
      <c r="P35" t="s">
        <v>27</v>
      </c>
      <c r="Q35" t="s">
        <v>828</v>
      </c>
    </row>
    <row r="36" spans="1:17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880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827</v>
      </c>
      <c r="P36" t="s">
        <v>27</v>
      </c>
      <c r="Q36" t="s">
        <v>828</v>
      </c>
    </row>
    <row r="37" spans="1:17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880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827</v>
      </c>
      <c r="P37" t="s">
        <v>27</v>
      </c>
      <c r="Q37" t="s">
        <v>828</v>
      </c>
    </row>
    <row r="38" spans="1:17">
      <c r="A38" t="s">
        <v>351</v>
      </c>
      <c r="B38" t="s">
        <v>1880</v>
      </c>
      <c r="C38" s="84" t="s">
        <v>257</v>
      </c>
      <c r="D38" s="84" t="s">
        <v>1881</v>
      </c>
      <c r="E38" s="84" t="s">
        <v>414</v>
      </c>
      <c r="F38" s="84" t="s">
        <v>218</v>
      </c>
      <c r="G38" s="84" t="s">
        <v>378</v>
      </c>
      <c r="H38" t="s">
        <v>880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827</v>
      </c>
      <c r="P38" t="s">
        <v>27</v>
      </c>
      <c r="Q38" t="s">
        <v>828</v>
      </c>
    </row>
    <row r="39" spans="1:17">
      <c r="A39" t="s">
        <v>351</v>
      </c>
      <c r="B39" t="s">
        <v>1882</v>
      </c>
      <c r="C39" s="84" t="s">
        <v>258</v>
      </c>
      <c r="D39" s="84" t="s">
        <v>1883</v>
      </c>
      <c r="E39" s="84" t="s">
        <v>415</v>
      </c>
      <c r="F39" s="84" t="s">
        <v>218</v>
      </c>
      <c r="G39" s="84" t="s">
        <v>378</v>
      </c>
      <c r="H39" t="s">
        <v>880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827</v>
      </c>
      <c r="P39" t="s">
        <v>27</v>
      </c>
      <c r="Q39" t="s">
        <v>828</v>
      </c>
    </row>
    <row r="40" spans="1:17" ht="25.5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880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827</v>
      </c>
      <c r="P40" t="s">
        <v>27</v>
      </c>
      <c r="Q40" t="s">
        <v>828</v>
      </c>
    </row>
    <row r="41" spans="1:17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880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827</v>
      </c>
      <c r="P41" t="s">
        <v>27</v>
      </c>
      <c r="Q41" t="s">
        <v>828</v>
      </c>
    </row>
    <row r="42" spans="1:17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880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827</v>
      </c>
      <c r="P42" t="s">
        <v>27</v>
      </c>
      <c r="Q42" t="s">
        <v>828</v>
      </c>
    </row>
    <row r="43" spans="1:17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880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827</v>
      </c>
      <c r="P43" t="s">
        <v>27</v>
      </c>
      <c r="Q43" t="s">
        <v>828</v>
      </c>
    </row>
    <row r="44" spans="1:17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880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827</v>
      </c>
      <c r="P44" t="s">
        <v>27</v>
      </c>
      <c r="Q44" t="s">
        <v>828</v>
      </c>
    </row>
    <row r="45" spans="1:17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880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827</v>
      </c>
      <c r="P45" t="s">
        <v>27</v>
      </c>
      <c r="Q45" t="s">
        <v>828</v>
      </c>
    </row>
    <row r="46" spans="1:17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880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827</v>
      </c>
      <c r="P46" t="s">
        <v>27</v>
      </c>
      <c r="Q46" t="s">
        <v>828</v>
      </c>
    </row>
    <row r="47" spans="1:17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880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827</v>
      </c>
      <c r="P47" t="s">
        <v>27</v>
      </c>
      <c r="Q47" t="s">
        <v>828</v>
      </c>
    </row>
    <row r="48" spans="1:17" ht="25.5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880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827</v>
      </c>
      <c r="P48" t="s">
        <v>27</v>
      </c>
      <c r="Q48" t="s">
        <v>828</v>
      </c>
    </row>
    <row r="49" spans="1:17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880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827</v>
      </c>
      <c r="P49" t="s">
        <v>27</v>
      </c>
      <c r="Q49" t="s">
        <v>828</v>
      </c>
    </row>
    <row r="50" spans="1:17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880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827</v>
      </c>
      <c r="P50" t="s">
        <v>27</v>
      </c>
      <c r="Q50" t="s">
        <v>828</v>
      </c>
    </row>
    <row r="51" spans="1:17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880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827</v>
      </c>
      <c r="P51" t="s">
        <v>27</v>
      </c>
      <c r="Q51" t="s">
        <v>828</v>
      </c>
    </row>
    <row r="52" spans="1:17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880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827</v>
      </c>
      <c r="P52" t="s">
        <v>27</v>
      </c>
      <c r="Q52" t="s">
        <v>828</v>
      </c>
    </row>
    <row r="53" spans="1:17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880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827</v>
      </c>
      <c r="P53" t="s">
        <v>27</v>
      </c>
      <c r="Q53" t="s">
        <v>828</v>
      </c>
    </row>
    <row r="54" spans="1:17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880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827</v>
      </c>
      <c r="P54" t="s">
        <v>27</v>
      </c>
      <c r="Q54" t="s">
        <v>828</v>
      </c>
    </row>
    <row r="55" spans="1:17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880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827</v>
      </c>
      <c r="P55" t="s">
        <v>27</v>
      </c>
      <c r="Q55" t="s">
        <v>828</v>
      </c>
    </row>
    <row r="56" spans="1:17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880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827</v>
      </c>
      <c r="P56" t="s">
        <v>27</v>
      </c>
      <c r="Q56" t="s">
        <v>828</v>
      </c>
    </row>
    <row r="57" spans="1:17" ht="25.5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880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827</v>
      </c>
      <c r="P57" t="s">
        <v>27</v>
      </c>
      <c r="Q57" t="s">
        <v>828</v>
      </c>
    </row>
    <row r="58" spans="1:17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880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827</v>
      </c>
      <c r="P58" t="s">
        <v>27</v>
      </c>
      <c r="Q58" t="s">
        <v>828</v>
      </c>
    </row>
    <row r="59" spans="1:17" ht="25.5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880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827</v>
      </c>
      <c r="P59" t="s">
        <v>27</v>
      </c>
      <c r="Q59" t="s">
        <v>828</v>
      </c>
    </row>
    <row r="60" spans="1:17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880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827</v>
      </c>
      <c r="P60" t="s">
        <v>27</v>
      </c>
      <c r="Q60" t="s">
        <v>828</v>
      </c>
    </row>
    <row r="61" spans="1:17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880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827</v>
      </c>
      <c r="P61" t="s">
        <v>27</v>
      </c>
      <c r="Q61" t="s">
        <v>828</v>
      </c>
    </row>
    <row r="62" spans="1:17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880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827</v>
      </c>
      <c r="P62" t="s">
        <v>27</v>
      </c>
      <c r="Q62" t="s">
        <v>828</v>
      </c>
    </row>
    <row r="63" spans="1:17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880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827</v>
      </c>
      <c r="P63" t="s">
        <v>27</v>
      </c>
      <c r="Q63" t="s">
        <v>828</v>
      </c>
    </row>
    <row r="64" spans="1:17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880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827</v>
      </c>
      <c r="P64" t="s">
        <v>27</v>
      </c>
      <c r="Q64" t="s">
        <v>828</v>
      </c>
    </row>
    <row r="65" spans="1:17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880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827</v>
      </c>
      <c r="P65" t="s">
        <v>27</v>
      </c>
      <c r="Q65" t="s">
        <v>828</v>
      </c>
    </row>
    <row r="66" spans="1:17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880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827</v>
      </c>
      <c r="P66" t="s">
        <v>27</v>
      </c>
      <c r="Q66" t="s">
        <v>828</v>
      </c>
    </row>
    <row r="67" spans="1:17">
      <c r="A67" t="s">
        <v>351</v>
      </c>
      <c r="B67" t="s">
        <v>1292</v>
      </c>
      <c r="C67" s="84" t="s">
        <v>244</v>
      </c>
      <c r="D67" s="84" t="s">
        <v>1293</v>
      </c>
      <c r="E67" s="84" t="s">
        <v>401</v>
      </c>
      <c r="F67" s="84" t="s">
        <v>218</v>
      </c>
      <c r="G67" s="84" t="s">
        <v>378</v>
      </c>
      <c r="H67" t="s">
        <v>880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827</v>
      </c>
      <c r="P67" t="s">
        <v>27</v>
      </c>
      <c r="Q67" t="s">
        <v>828</v>
      </c>
    </row>
    <row r="68" spans="1:17">
      <c r="A68" t="s">
        <v>351</v>
      </c>
      <c r="B68" t="s">
        <v>1880</v>
      </c>
      <c r="C68" s="84" t="s">
        <v>257</v>
      </c>
      <c r="D68" s="84" t="s">
        <v>1881</v>
      </c>
      <c r="E68" s="84" t="s">
        <v>414</v>
      </c>
      <c r="F68" s="84" t="s">
        <v>218</v>
      </c>
      <c r="G68" s="84" t="s">
        <v>378</v>
      </c>
      <c r="H68" t="s">
        <v>880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827</v>
      </c>
      <c r="P68" t="s">
        <v>27</v>
      </c>
      <c r="Q68" t="s">
        <v>828</v>
      </c>
    </row>
    <row r="69" spans="1:17" ht="25.5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880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827</v>
      </c>
      <c r="P69" t="s">
        <v>27</v>
      </c>
      <c r="Q69" t="s">
        <v>828</v>
      </c>
    </row>
    <row r="70" spans="1:17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880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827</v>
      </c>
      <c r="P70" t="s">
        <v>27</v>
      </c>
      <c r="Q70" t="s">
        <v>828</v>
      </c>
    </row>
    <row r="71" spans="1:17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880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827</v>
      </c>
      <c r="P71" t="s">
        <v>27</v>
      </c>
      <c r="Q71" t="s">
        <v>828</v>
      </c>
    </row>
    <row r="72" spans="1:17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880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827</v>
      </c>
      <c r="P72" t="s">
        <v>27</v>
      </c>
      <c r="Q72" t="s">
        <v>828</v>
      </c>
    </row>
    <row r="73" spans="1:17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880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827</v>
      </c>
      <c r="P73" t="s">
        <v>27</v>
      </c>
      <c r="Q73" t="s">
        <v>828</v>
      </c>
    </row>
    <row r="74" spans="1:17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880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827</v>
      </c>
      <c r="P74" t="s">
        <v>27</v>
      </c>
      <c r="Q74" t="s">
        <v>828</v>
      </c>
    </row>
    <row r="75" spans="1:17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880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827</v>
      </c>
      <c r="P75" t="s">
        <v>27</v>
      </c>
      <c r="Q75" t="s">
        <v>828</v>
      </c>
    </row>
    <row r="76" spans="1:17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880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827</v>
      </c>
      <c r="P76" t="s">
        <v>27</v>
      </c>
      <c r="Q76" t="s">
        <v>828</v>
      </c>
    </row>
    <row r="77" spans="1:17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880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827</v>
      </c>
      <c r="P77" t="s">
        <v>27</v>
      </c>
      <c r="Q77" t="s">
        <v>828</v>
      </c>
    </row>
    <row r="78" spans="1:17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880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827</v>
      </c>
      <c r="P78" t="s">
        <v>27</v>
      </c>
      <c r="Q78" t="s">
        <v>828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40625" defaultRowHeight="12.75"/>
  <cols>
    <col min="1" max="1" width="6.5703125" style="179" bestFit="1" customWidth="1"/>
    <col min="2" max="4" width="5.42578125" style="179" customWidth="1"/>
    <col min="5" max="5" width="27.57031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9.140625" style="179"/>
  </cols>
  <sheetData>
    <row r="1" spans="1:13" s="183" customFormat="1" ht="125.1" customHeight="1">
      <c r="A1" s="181" t="s">
        <v>15</v>
      </c>
      <c r="B1" s="181" t="s">
        <v>896</v>
      </c>
      <c r="C1" s="181" t="s">
        <v>16</v>
      </c>
      <c r="D1" s="181" t="s">
        <v>17</v>
      </c>
      <c r="E1" s="176" t="s">
        <v>1283</v>
      </c>
      <c r="F1" s="176" t="s">
        <v>1285</v>
      </c>
      <c r="G1" s="176" t="s">
        <v>1286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899</v>
      </c>
    </row>
    <row r="2" spans="1:13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827</v>
      </c>
      <c r="K2" t="s">
        <v>27</v>
      </c>
      <c r="L2" t="s">
        <v>828</v>
      </c>
    </row>
    <row r="3" spans="1:13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40625" defaultRowHeight="12.75"/>
  <cols>
    <col min="1" max="3" width="6.5703125" style="179" bestFit="1" customWidth="1"/>
    <col min="4" max="4" width="5.42578125" style="179" customWidth="1"/>
    <col min="5" max="5" width="6.5703125" style="179" bestFit="1" customWidth="1"/>
    <col min="6" max="6" width="27.5703125" style="173" bestFit="1" customWidth="1"/>
    <col min="7" max="7" width="8" style="174" bestFit="1" customWidth="1"/>
    <col min="8" max="8" width="17.28515625" style="173" bestFit="1" customWidth="1"/>
    <col min="9" max="12" width="5.42578125" style="173" customWidth="1"/>
    <col min="13" max="13" width="13.140625" style="173" bestFit="1" customWidth="1"/>
    <col min="14" max="16384" width="9.140625" style="179"/>
  </cols>
  <sheetData>
    <row r="1" spans="1:14" s="183" customFormat="1" ht="125.1" customHeight="1">
      <c r="A1" s="181" t="s">
        <v>1892</v>
      </c>
      <c r="B1" s="181" t="s">
        <v>1508</v>
      </c>
      <c r="C1" s="181" t="s">
        <v>4</v>
      </c>
      <c r="D1" s="181" t="s">
        <v>896</v>
      </c>
      <c r="E1" s="181" t="s">
        <v>1893</v>
      </c>
      <c r="F1" s="176" t="s">
        <v>1283</v>
      </c>
      <c r="G1" s="176" t="s">
        <v>1285</v>
      </c>
      <c r="H1" s="176" t="s">
        <v>1286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899</v>
      </c>
    </row>
    <row r="2" spans="1:14">
      <c r="B2" t="s">
        <v>880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827</v>
      </c>
      <c r="L2" t="s">
        <v>27</v>
      </c>
      <c r="M2" t="s">
        <v>828</v>
      </c>
    </row>
    <row r="3" spans="1:1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.75"/>
  <cols>
    <col min="1" max="1" width="12.42578125" customWidth="1"/>
    <col min="2" max="2" width="11.28515625" customWidth="1"/>
    <col min="3" max="3" width="18.42578125" customWidth="1"/>
    <col min="4" max="4" width="12.42578125" customWidth="1"/>
    <col min="5" max="6" width="5.5703125" customWidth="1"/>
    <col min="7" max="7" width="3.7109375" customWidth="1"/>
    <col min="8" max="9" width="5.5703125" customWidth="1"/>
    <col min="11" max="17" width="8.7109375" style="1" customWidth="1"/>
    <col min="25" max="25" width="23.5703125" customWidth="1"/>
  </cols>
  <sheetData>
    <row r="1" spans="1:17" ht="196.5" thickBot="1">
      <c r="A1" s="65" t="s">
        <v>1278</v>
      </c>
      <c r="B1" s="66" t="s">
        <v>1279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5.75" thickBot="1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5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5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5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5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5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5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5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5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5.75" thickBot="1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5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5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5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5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5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5.75" thickBot="1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5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5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5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5.75" thickBot="1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>
      <c r="B23" s="1" t="s">
        <v>198</v>
      </c>
      <c r="C23" t="s">
        <v>199</v>
      </c>
    </row>
    <row r="24" spans="1:17">
      <c r="B24" s="1" t="s">
        <v>194</v>
      </c>
      <c r="C24" t="s">
        <v>197</v>
      </c>
    </row>
    <row r="25" spans="1:17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40625" defaultRowHeight="15"/>
  <cols>
    <col min="1" max="1" width="17.42578125" style="12" customWidth="1"/>
    <col min="2" max="2" width="15.7109375" style="20" customWidth="1"/>
    <col min="3" max="3" width="23.140625" style="21" customWidth="1"/>
    <col min="4" max="4" width="13.5703125" style="12" customWidth="1"/>
    <col min="5" max="11" width="11.7109375" style="19" customWidth="1"/>
    <col min="12" max="12" width="8.7109375" style="12" customWidth="1"/>
    <col min="13" max="13" width="11.7109375" style="19" customWidth="1"/>
    <col min="14" max="14" width="9.140625" style="12"/>
    <col min="15" max="15" width="11.28515625" style="12" customWidth="1"/>
    <col min="16" max="16384" width="9.140625" style="12"/>
  </cols>
  <sheetData>
    <row r="1" spans="1:16" ht="147" thickBot="1">
      <c r="A1" s="4" t="s">
        <v>1278</v>
      </c>
      <c r="B1" s="5" t="s">
        <v>1279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5.75" thickBot="1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5.75" thickBot="1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5.75" thickBot="1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5.75" thickBot="1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5"/>
  <cols>
    <col min="1" max="1" width="16.42578125" customWidth="1"/>
    <col min="2" max="2" width="35" style="12" customWidth="1"/>
    <col min="3" max="3" width="12.5703125" style="19" customWidth="1"/>
    <col min="4" max="4" width="68.42578125" customWidth="1"/>
    <col min="5" max="11" width="14" customWidth="1"/>
  </cols>
  <sheetData>
    <row r="1" spans="1:4">
      <c r="A1" s="195" t="s">
        <v>891</v>
      </c>
      <c r="B1" s="195" t="s">
        <v>900</v>
      </c>
      <c r="C1" s="210" t="s">
        <v>1271</v>
      </c>
      <c r="D1" s="195" t="s">
        <v>6</v>
      </c>
    </row>
    <row r="2" spans="1:4" s="173" customFormat="1">
      <c r="A2" s="190" t="s">
        <v>892</v>
      </c>
      <c r="B2" s="204" t="str">
        <f>HYPERLINK("#'Metadata'!A8","Metadata")</f>
        <v>Metadata</v>
      </c>
      <c r="C2" s="174" t="s">
        <v>1273</v>
      </c>
      <c r="D2" s="173" t="str">
        <f>_xlfn.CONCAT("Configuration information related to ", SUBSTITUTE(B2,"A-",""))</f>
        <v>Configuration information related to Metadata</v>
      </c>
    </row>
    <row r="3" spans="1:4" s="173" customFormat="1">
      <c r="A3" s="190" t="s">
        <v>892</v>
      </c>
      <c r="B3" s="204" t="str">
        <f>HYPERLINK("#'A-Naming'!B3","A-Naming")</f>
        <v>A-Naming</v>
      </c>
      <c r="C3" s="174" t="s">
        <v>1273</v>
      </c>
      <c r="D3" s="173" t="str">
        <f>_xlfn.CONCAT("Configuration information related to ", SUBSTITUTE(B3,"A-",""))</f>
        <v>Configuration information related to Naming</v>
      </c>
    </row>
    <row r="4" spans="1:4" s="173" customFormat="1">
      <c r="A4" s="190" t="s">
        <v>892</v>
      </c>
      <c r="B4" s="204" t="str">
        <f>HYPERLINK("#'A-NamingKeys'!A1","A-NamingKeys")</f>
        <v>A-NamingKeys</v>
      </c>
      <c r="C4" s="174" t="s">
        <v>1273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>
      <c r="A5" s="190" t="s">
        <v>892</v>
      </c>
      <c r="B5" s="204" t="str">
        <f>HYPERLINK("#'A-NamingRules'!A1","A-NamingRules")</f>
        <v>A-NamingRules</v>
      </c>
      <c r="C5" s="174" t="s">
        <v>1273</v>
      </c>
      <c r="D5" s="173" t="str">
        <f t="shared" si="0"/>
        <v>Configuration information related to NamingRules</v>
      </c>
    </row>
    <row r="6" spans="1:4" s="173" customFormat="1">
      <c r="A6" s="190" t="s">
        <v>892</v>
      </c>
      <c r="B6" s="204" t="str">
        <f>HYPERLINK("#'A-Default Tags'!A1","A-Default Tags")</f>
        <v>A-Default Tags</v>
      </c>
      <c r="C6" s="174" t="s">
        <v>1273</v>
      </c>
      <c r="D6" s="173" t="str">
        <f t="shared" si="0"/>
        <v>Configuration information related to Default Tags</v>
      </c>
    </row>
    <row r="7" spans="1:4" s="173" customFormat="1">
      <c r="A7" s="191" t="s">
        <v>893</v>
      </c>
      <c r="B7" s="204" t="str">
        <f>HYPERLINK("#'A-Active Directory'!A1","A-Active Directory")</f>
        <v>A-Active Directory</v>
      </c>
      <c r="C7" s="174" t="s">
        <v>1273</v>
      </c>
      <c r="D7" s="173" t="str">
        <f t="shared" si="0"/>
        <v>Configuration information related to Active Directory</v>
      </c>
    </row>
    <row r="8" spans="1:4" s="173" customFormat="1">
      <c r="A8" s="191" t="s">
        <v>893</v>
      </c>
      <c r="B8" s="204" t="str">
        <f>HYPERLINK("#'A-ADGroups'!A1","A-ADGroups")</f>
        <v>A-ADGroups</v>
      </c>
      <c r="C8" s="174" t="s">
        <v>1273</v>
      </c>
      <c r="D8" s="173" t="str">
        <f t="shared" si="0"/>
        <v>Configuration information related to ADGroups</v>
      </c>
    </row>
    <row r="9" spans="1:4" s="173" customFormat="1">
      <c r="A9" s="191" t="s">
        <v>893</v>
      </c>
      <c r="B9" s="204" t="str">
        <f>HYPERLINK("#'A-Active Directory Endpoints'!A1","A-Active Directory Endpoints")</f>
        <v>A-Active Directory Endpoints</v>
      </c>
      <c r="C9" s="174" t="s">
        <v>1273</v>
      </c>
      <c r="D9" s="173" t="str">
        <f t="shared" si="0"/>
        <v>Configuration information related to Active Directory Endpoints</v>
      </c>
    </row>
    <row r="10" spans="1:4" s="173" customFormat="1">
      <c r="A10" s="191" t="s">
        <v>893</v>
      </c>
      <c r="B10" s="204" t="str">
        <f>HYPERLINK("#'A-Subscriptions'!A1","A-Subscriptions")</f>
        <v>A-Subscriptions</v>
      </c>
      <c r="C10" s="174" t="s">
        <v>1273</v>
      </c>
      <c r="D10" s="173" t="str">
        <f t="shared" si="0"/>
        <v>Configuration information related to Subscriptions</v>
      </c>
    </row>
    <row r="11" spans="1:4" s="173" customFormat="1">
      <c r="A11" s="191" t="s">
        <v>893</v>
      </c>
      <c r="B11" s="204" t="str">
        <f>HYPERLINK("#'A-Management Groups'!A1","A-Management Groups")</f>
        <v>A-Management Groups</v>
      </c>
      <c r="C11" s="174" t="s">
        <v>1273</v>
      </c>
      <c r="D11" s="173" t="str">
        <f t="shared" si="0"/>
        <v>Configuration information related to Management Groups</v>
      </c>
    </row>
    <row r="12" spans="1:4" s="173" customFormat="1">
      <c r="A12" s="191" t="s">
        <v>893</v>
      </c>
      <c r="B12" s="204" t="str">
        <f>HYPERLINK("#'A-Resource Groups'!A1","A-Resource Groups")</f>
        <v>A-Resource Groups</v>
      </c>
      <c r="C12" s="174" t="s">
        <v>1273</v>
      </c>
      <c r="D12" s="173" t="str">
        <f t="shared" si="0"/>
        <v>Configuration information related to Resource Groups</v>
      </c>
    </row>
    <row r="13" spans="1:4" s="173" customFormat="1">
      <c r="A13" s="191" t="s">
        <v>893</v>
      </c>
      <c r="B13" s="204" t="str">
        <f>HYPERLINK("#'A-RoleAssignments'!A1","A-RoleAssignments")</f>
        <v>A-RoleAssignments</v>
      </c>
      <c r="C13" s="174" t="s">
        <v>1273</v>
      </c>
      <c r="D13" s="173" t="str">
        <f t="shared" si="0"/>
        <v>Configuration information related to RoleAssignments</v>
      </c>
    </row>
    <row r="14" spans="1:4" s="173" customFormat="1">
      <c r="A14" s="192" t="s">
        <v>634</v>
      </c>
      <c r="B14" s="204" t="str">
        <f>HYPERLINK("#'A-Storage Accounts'!A1","A-Storage Accounts")</f>
        <v>A-Storage Accounts</v>
      </c>
      <c r="C14" s="174" t="s">
        <v>1273</v>
      </c>
      <c r="D14" s="173" t="str">
        <f t="shared" si="0"/>
        <v>Configuration information related to Storage Accounts</v>
      </c>
    </row>
    <row r="15" spans="1:4" s="173" customFormat="1">
      <c r="A15" s="192" t="s">
        <v>634</v>
      </c>
      <c r="B15" s="204" t="str">
        <f>HYPERLINK("#'A-Storage Containers'!A1","A-Storage Containers")</f>
        <v>A-Storage Containers</v>
      </c>
      <c r="C15" s="174" t="s">
        <v>1273</v>
      </c>
      <c r="D15" s="173" t="str">
        <f t="shared" si="0"/>
        <v>Configuration information related to Storage Containers</v>
      </c>
    </row>
    <row r="16" spans="1:4" s="173" customFormat="1">
      <c r="A16" s="192" t="s">
        <v>634</v>
      </c>
      <c r="B16" s="204" t="str">
        <f>HYPERLINK("#'A-Azure Files'!A1","A-Azure Files")</f>
        <v>A-Azure Files</v>
      </c>
      <c r="C16" s="174" t="s">
        <v>1273</v>
      </c>
      <c r="D16" s="173" t="str">
        <f t="shared" si="0"/>
        <v>Configuration information related to Azure Files</v>
      </c>
    </row>
    <row r="17" spans="1:4" s="173" customFormat="1">
      <c r="A17" s="192" t="s">
        <v>634</v>
      </c>
      <c r="B17" s="204" t="str">
        <f>HYPERLINK("#'A-SQL Servers'!A1","A-SQL Servers")</f>
        <v>A-SQL Servers</v>
      </c>
      <c r="C17" s="174" t="s">
        <v>1273</v>
      </c>
      <c r="D17" s="173" t="str">
        <f t="shared" si="0"/>
        <v>Configuration information related to SQL Servers</v>
      </c>
    </row>
    <row r="18" spans="1:4" s="173" customFormat="1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1273</v>
      </c>
      <c r="D18" s="173" t="str">
        <f t="shared" si="0"/>
        <v>Configuration information related to SQL Elastic Database Pools</v>
      </c>
    </row>
    <row r="19" spans="1:4" s="173" customFormat="1">
      <c r="A19" s="192" t="s">
        <v>634</v>
      </c>
      <c r="B19" s="204" t="str">
        <f>HYPERLINK("#'A-SQL Databases'!A1","A-SQL Databases")</f>
        <v>A-SQL Databases</v>
      </c>
      <c r="C19" s="174" t="s">
        <v>1273</v>
      </c>
      <c r="D19" s="173" t="str">
        <f t="shared" si="0"/>
        <v>Configuration information related to SQL Databases</v>
      </c>
    </row>
    <row r="20" spans="1:4" s="173" customFormat="1">
      <c r="A20" s="192" t="s">
        <v>634</v>
      </c>
      <c r="B20" s="204" t="str">
        <f>HYPERLINK("#'A-SQLDW Databases'!A1","A-SQLDW Databases")</f>
        <v>A-SQLDW Databases</v>
      </c>
      <c r="C20" s="174" t="s">
        <v>1273</v>
      </c>
      <c r="D20" s="173" t="str">
        <f t="shared" si="0"/>
        <v>Configuration information related to SQLDW Databases</v>
      </c>
    </row>
    <row r="21" spans="1:4" s="173" customFormat="1">
      <c r="A21" s="192" t="s">
        <v>634</v>
      </c>
      <c r="B21" s="204" t="str">
        <f>HYPERLINK("#'A-Analysis Services'!A1","A-Analysis Services")</f>
        <v>A-Analysis Services</v>
      </c>
      <c r="C21" s="174" t="s">
        <v>1273</v>
      </c>
      <c r="D21" s="173" t="str">
        <f t="shared" si="0"/>
        <v>Configuration information related to Analysis Services</v>
      </c>
    </row>
    <row r="22" spans="1:4" s="173" customFormat="1">
      <c r="A22" s="192" t="s">
        <v>634</v>
      </c>
      <c r="B22" s="204" t="str">
        <f>HYPERLINK("#'A-DocumentDB'!A1","A-DocumentDB")</f>
        <v>A-DocumentDB</v>
      </c>
      <c r="C22" s="174" t="s">
        <v>1273</v>
      </c>
      <c r="D22" s="173" t="str">
        <f t="shared" si="0"/>
        <v>Configuration information related to DocumentDB</v>
      </c>
    </row>
    <row r="23" spans="1:4" s="173" customFormat="1">
      <c r="A23" s="192" t="s">
        <v>634</v>
      </c>
      <c r="B23" s="204" t="str">
        <f>HYPERLINK("#'A-StreamAnalytics'!A1","A-StreamAnalytics")</f>
        <v>A-StreamAnalytics</v>
      </c>
      <c r="C23" s="174" t="s">
        <v>1273</v>
      </c>
      <c r="D23" s="173" t="str">
        <f t="shared" si="0"/>
        <v>Configuration information related to StreamAnalytics</v>
      </c>
    </row>
    <row r="24" spans="1:4" s="173" customFormat="1">
      <c r="A24" s="192" t="s">
        <v>634</v>
      </c>
      <c r="B24" s="204" t="str">
        <f>HYPERLINK("#'A-EventHubNS'!A1","A-EventHubNS")</f>
        <v>A-EventHubNS</v>
      </c>
      <c r="C24" s="174" t="s">
        <v>1273</v>
      </c>
      <c r="D24" s="173" t="str">
        <f t="shared" si="0"/>
        <v>Configuration information related to EventHubNS</v>
      </c>
    </row>
    <row r="25" spans="1:4" s="173" customFormat="1">
      <c r="A25" s="192" t="s">
        <v>634</v>
      </c>
      <c r="B25" s="204" t="str">
        <f>HYPERLINK("#'A-EventHubs'!A1","A-EventHubs")</f>
        <v>A-EventHubs</v>
      </c>
      <c r="C25" s="174" t="s">
        <v>1273</v>
      </c>
      <c r="D25" s="173" t="str">
        <f t="shared" si="0"/>
        <v>Configuration information related to EventHubs</v>
      </c>
    </row>
    <row r="26" spans="1:4" s="173" customFormat="1">
      <c r="A26" s="192" t="s">
        <v>634</v>
      </c>
      <c r="B26" s="204" t="str">
        <f>HYPERLINK("#'A-IoTHubs'!A1","A-IoTHubs")</f>
        <v>A-IoTHubs</v>
      </c>
      <c r="C26" s="174" t="s">
        <v>1273</v>
      </c>
      <c r="D26" s="173" t="str">
        <f t="shared" si="0"/>
        <v>Configuration information related to IoTHubs</v>
      </c>
    </row>
    <row r="27" spans="1:4" s="173" customFormat="1">
      <c r="A27" s="192" t="s">
        <v>634</v>
      </c>
      <c r="B27" s="204" t="str">
        <f>HYPERLINK("#'A-Data Lake Store'!A1","A-Data Lake Store")</f>
        <v>A-Data Lake Store</v>
      </c>
      <c r="C27" s="174" t="s">
        <v>1273</v>
      </c>
      <c r="D27" s="173" t="str">
        <f t="shared" si="0"/>
        <v>Configuration information related to Data Lake Store</v>
      </c>
    </row>
    <row r="28" spans="1:4" s="173" customFormat="1">
      <c r="A28" s="192" t="s">
        <v>634</v>
      </c>
      <c r="B28" s="204" t="str">
        <f>HYPERLINK("#'A-Data Lake Analytics'!A1","A-Data Lake Analytics")</f>
        <v>A-Data Lake Analytics</v>
      </c>
      <c r="C28" s="174" t="s">
        <v>1273</v>
      </c>
      <c r="D28" s="173" t="str">
        <f t="shared" si="0"/>
        <v>Configuration information related to Data Lake Analytics</v>
      </c>
    </row>
    <row r="29" spans="1:4" s="173" customFormat="1">
      <c r="A29" s="192" t="s">
        <v>634</v>
      </c>
      <c r="B29" s="204" t="str">
        <f>HYPERLINK("#'A-Data Catalog'!A1","A-Data Catalog")</f>
        <v>A-Data Catalog</v>
      </c>
      <c r="C29" s="174" t="s">
        <v>1273</v>
      </c>
      <c r="D29" s="173" t="str">
        <f t="shared" si="0"/>
        <v>Configuration information related to Data Catalog</v>
      </c>
    </row>
    <row r="30" spans="1:4" s="173" customFormat="1">
      <c r="A30" s="192" t="s">
        <v>634</v>
      </c>
      <c r="B30" s="204" t="str">
        <f>HYPERLINK("#'A-Key Vault'!A1","A-Key Vault")</f>
        <v>A-Key Vault</v>
      </c>
      <c r="C30" s="174" t="s">
        <v>1273</v>
      </c>
      <c r="D30" s="173" t="str">
        <f t="shared" si="0"/>
        <v>Configuration information related to Key Vault</v>
      </c>
    </row>
    <row r="31" spans="1:4" s="173" customFormat="1">
      <c r="A31" s="192" t="s">
        <v>634</v>
      </c>
      <c r="B31" s="204" t="str">
        <f>HYPERLINK("#'A-Automation Accounts'!A1","A-Automation Accounts")</f>
        <v>A-Automation Accounts</v>
      </c>
      <c r="C31" s="174" t="s">
        <v>1273</v>
      </c>
      <c r="D31" s="173" t="str">
        <f t="shared" si="0"/>
        <v>Configuration information related to Automation Accounts</v>
      </c>
    </row>
    <row r="32" spans="1:4" s="173" customFormat="1">
      <c r="A32" s="192" t="s">
        <v>634</v>
      </c>
      <c r="B32" s="204" t="str">
        <f>HYPERLINK("#'A-LogicApps'!A1","A-LogicApps")</f>
        <v>A-LogicApps</v>
      </c>
      <c r="C32" s="174" t="s">
        <v>1273</v>
      </c>
      <c r="D32" s="173" t="str">
        <f t="shared" si="0"/>
        <v>Configuration information related to LogicApps</v>
      </c>
    </row>
    <row r="33" spans="1:4" s="173" customFormat="1">
      <c r="A33" s="192" t="s">
        <v>634</v>
      </c>
      <c r="B33" s="204" t="str">
        <f>HYPERLINK("#'A-LogicAppConnectors'!A1","A-LogicAppConnectors")</f>
        <v>A-LogicAppConnectors</v>
      </c>
      <c r="C33" s="174" t="s">
        <v>1273</v>
      </c>
      <c r="D33" s="173" t="str">
        <f t="shared" si="0"/>
        <v>Configuration information related to LogicAppConnectors</v>
      </c>
    </row>
    <row r="34" spans="1:4" s="173" customFormat="1">
      <c r="A34" s="193" t="s">
        <v>14</v>
      </c>
      <c r="B34" s="204" t="str">
        <f>HYPERLINK("#'A-Servers'!A1","A-Servers")</f>
        <v>A-Servers</v>
      </c>
      <c r="C34" s="174" t="s">
        <v>1273</v>
      </c>
      <c r="D34" s="173" t="str">
        <f t="shared" si="0"/>
        <v>Configuration information related to Servers</v>
      </c>
    </row>
    <row r="35" spans="1:4" s="173" customFormat="1">
      <c r="A35" s="193" t="s">
        <v>14</v>
      </c>
      <c r="B35" s="204" t="str">
        <f>HYPERLINK("#'A-Fail-Over Cluster'!A1","A-Fail-Over Cluster")</f>
        <v>A-Fail-Over Cluster</v>
      </c>
      <c r="C35" s="174" t="s">
        <v>1273</v>
      </c>
      <c r="D35" s="173" t="str">
        <f t="shared" si="0"/>
        <v>Configuration information related to Fail-Over Cluster</v>
      </c>
    </row>
    <row r="36" spans="1:4" s="173" customFormat="1">
      <c r="A36" s="193" t="s">
        <v>14</v>
      </c>
      <c r="B36" s="204" t="str">
        <f>HYPERLINK("#'A-Security Zones'!A1","A-Security Zones")</f>
        <v>A-Security Zones</v>
      </c>
      <c r="C36" s="174" t="s">
        <v>1273</v>
      </c>
      <c r="D36" s="173" t="str">
        <f t="shared" si="0"/>
        <v>Configuration information related to Security Zones</v>
      </c>
    </row>
    <row r="37" spans="1:4" s="173" customFormat="1">
      <c r="A37" s="193" t="s">
        <v>14</v>
      </c>
      <c r="B37" s="204" t="str">
        <f>HYPERLINK("#'A-Networks'!A1","A-Networks")</f>
        <v>A-Networks</v>
      </c>
      <c r="C37" s="174" t="s">
        <v>1273</v>
      </c>
      <c r="D37" s="173" t="str">
        <f t="shared" si="0"/>
        <v>Configuration information related to Networks</v>
      </c>
    </row>
    <row r="38" spans="1:4" s="173" customFormat="1">
      <c r="A38" s="193" t="s">
        <v>14</v>
      </c>
      <c r="B38" s="204" t="str">
        <f>HYPERLINK("#'A-Subnets'!A1","A-Subnets")</f>
        <v>A-Subnets</v>
      </c>
      <c r="C38" s="174" t="s">
        <v>1273</v>
      </c>
      <c r="D38" s="173" t="str">
        <f t="shared" si="0"/>
        <v>Configuration information related to Subnets</v>
      </c>
    </row>
    <row r="39" spans="1:4" s="173" customFormat="1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1273</v>
      </c>
      <c r="D39" s="173" t="str">
        <f t="shared" si="0"/>
        <v>Configuration information related to Network Security Groups (NSG)</v>
      </c>
    </row>
    <row r="40" spans="1:4" s="173" customFormat="1">
      <c r="A40" s="193" t="s">
        <v>14</v>
      </c>
      <c r="B40" s="204" t="str">
        <f>HYPERLINK("#'A-NSG Rules'!A1","A-NSG Rules")</f>
        <v>A-NSG Rules</v>
      </c>
      <c r="C40" s="174" t="s">
        <v>1273</v>
      </c>
      <c r="D40" s="173" t="str">
        <f t="shared" si="0"/>
        <v>Configuration information related to NSG Rules</v>
      </c>
    </row>
    <row r="41" spans="1:4" s="173" customFormat="1">
      <c r="A41" s="193" t="s">
        <v>14</v>
      </c>
      <c r="B41" s="204" t="str">
        <f>HYPERLINK("#'A-Traffic Manager'!A1","A-Traffic Manager")</f>
        <v>A-Traffic Manager</v>
      </c>
      <c r="C41" s="174" t="s">
        <v>1273</v>
      </c>
      <c r="D41" s="173" t="str">
        <f t="shared" si="0"/>
        <v>Configuration information related to Traffic Manager</v>
      </c>
    </row>
    <row r="42" spans="1:4" s="173" customFormat="1">
      <c r="A42" s="193" t="s">
        <v>14</v>
      </c>
      <c r="B42" s="204" t="str">
        <f>HYPERLINK("#'A-Load Balancers'!A1","A-Load Balancers")</f>
        <v>A-Load Balancers</v>
      </c>
      <c r="C42" s="174" t="s">
        <v>1273</v>
      </c>
      <c r="D42" s="173" t="str">
        <f t="shared" si="0"/>
        <v>Configuration information related to Load Balancers</v>
      </c>
    </row>
    <row r="43" spans="1:4" s="173" customFormat="1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1273</v>
      </c>
      <c r="D43" s="173" t="str">
        <f t="shared" si="0"/>
        <v>Configuration information related to Load Balanced Endpoints</v>
      </c>
    </row>
    <row r="44" spans="1:4" s="173" customFormat="1">
      <c r="A44" s="193" t="s">
        <v>14</v>
      </c>
      <c r="B44" s="204" t="str">
        <f>HYPERLINK("#'A-Network Equipment'!A1","A-Network Equipment")</f>
        <v>A-Network Equipment</v>
      </c>
      <c r="C44" s="174" t="s">
        <v>1273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>
      <c r="A45" s="193" t="s">
        <v>14</v>
      </c>
      <c r="B45" s="204" t="str">
        <f>HYPERLINK("#'A-RecoveryServicesVault'!A1","A-RecoveryServicesVault")</f>
        <v>A-RecoveryServicesVault</v>
      </c>
      <c r="C45" s="174" t="s">
        <v>1273</v>
      </c>
      <c r="D45" s="173" t="str">
        <f t="shared" si="0"/>
        <v>Configuration information related to RecoveryServicesVault</v>
      </c>
    </row>
    <row r="46" spans="1:4" s="173" customFormat="1">
      <c r="A46" s="193" t="s">
        <v>14</v>
      </c>
      <c r="B46" s="204" t="str">
        <f>HYPERLINK("#'A-Log Analytics WS'!A1","A-Log Analytics WS")</f>
        <v>A-Log Analytics WS</v>
      </c>
      <c r="C46" s="174" t="s">
        <v>1273</v>
      </c>
      <c r="D46" s="173" t="str">
        <f t="shared" si="0"/>
        <v>Configuration information related to Log Analytics WS</v>
      </c>
    </row>
    <row r="47" spans="1:4">
      <c r="A47" s="193" t="s">
        <v>14</v>
      </c>
      <c r="B47" s="204" t="str">
        <f>HYPERLINK("#'A-MonitorSolution'!A1","A-MonitorSolution")</f>
        <v>A-MonitorSolution</v>
      </c>
      <c r="C47" s="174" t="s">
        <v>1273</v>
      </c>
      <c r="D47" s="173" t="str">
        <f t="shared" si="0"/>
        <v>Configuration information related to MonitorSolution</v>
      </c>
    </row>
    <row r="48" spans="1:4">
      <c r="A48" s="193" t="s">
        <v>14</v>
      </c>
      <c r="B48" s="204" t="str">
        <f>HYPERLINK("#'A-Policies'!A1","A-Policies")</f>
        <v>A-Policies</v>
      </c>
      <c r="C48" s="174" t="s">
        <v>1273</v>
      </c>
      <c r="D48" s="173" t="str">
        <f t="shared" si="0"/>
        <v>Configuration information related to Policies</v>
      </c>
    </row>
    <row r="49" spans="1:4">
      <c r="A49" s="194" t="s">
        <v>894</v>
      </c>
      <c r="B49" s="204" t="str">
        <f>HYPERLINK("#'A-Application Insights'!A1","A-Application Insights")</f>
        <v>A-Application Insights</v>
      </c>
      <c r="C49" s="174" t="s">
        <v>1273</v>
      </c>
      <c r="D49" s="173" t="str">
        <f t="shared" si="0"/>
        <v>Configuration information related to Application Insights</v>
      </c>
    </row>
    <row r="50" spans="1:4">
      <c r="A50" s="194" t="s">
        <v>894</v>
      </c>
      <c r="B50" s="204" t="str">
        <f>HYPERLINK("#'A-App Service Plans'!A1","A-App Service Plans")</f>
        <v>A-App Service Plans</v>
      </c>
      <c r="C50" s="174" t="s">
        <v>1273</v>
      </c>
      <c r="D50" s="173" t="str">
        <f t="shared" si="0"/>
        <v>Configuration information related to App Service Plans</v>
      </c>
    </row>
    <row r="51" spans="1:4">
      <c r="A51" s="194" t="s">
        <v>894</v>
      </c>
      <c r="B51" s="204" t="str">
        <f>HYPERLINK("#'A-Web Apps'!A1","A-Web Apps")</f>
        <v>A-Web Apps</v>
      </c>
      <c r="C51" s="174" t="s">
        <v>1273</v>
      </c>
      <c r="D51" s="173" t="str">
        <f t="shared" si="0"/>
        <v>Configuration information related to Web Apps</v>
      </c>
    </row>
    <row r="52" spans="1:4">
      <c r="A52" s="194" t="s">
        <v>894</v>
      </c>
      <c r="B52" s="204" t="str">
        <f>HYPERLINK("#'A-Cloud Services'!A1","A-Cloud Services")</f>
        <v>A-Cloud Services</v>
      </c>
      <c r="C52" s="174" t="s">
        <v>1273</v>
      </c>
      <c r="D52" s="173" t="str">
        <f t="shared" si="0"/>
        <v>Configuration information related to Cloud Services</v>
      </c>
    </row>
    <row r="53" spans="1:4">
      <c r="A53" s="194" t="s">
        <v>894</v>
      </c>
      <c r="B53" s="204" t="str">
        <f>HYPERLINK("#'A-prdOps Services'!A1","A-prdOps Services")</f>
        <v>A-prdOps Services</v>
      </c>
      <c r="C53" s="174" t="s">
        <v>1273</v>
      </c>
      <c r="D53" s="173" t="str">
        <f t="shared" si="0"/>
        <v>Configuration information related to prdOps Services</v>
      </c>
    </row>
    <row r="54" spans="1:4">
      <c r="A54" s="190" t="s">
        <v>892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>
      <c r="A55" s="190" t="s">
        <v>892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>
      <c r="A56" s="190" t="s">
        <v>892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Az-synapse-dw</vt:lpstr>
      <vt:lpstr>Az-data-lake-store</vt:lpstr>
      <vt:lpstr>Az-sql-server</vt:lpstr>
      <vt:lpstr>Az-data-factory</vt:lpstr>
      <vt:lpstr>A-key-vault</vt:lpstr>
      <vt:lpstr>Az-storage-account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2020-03-23T21:07:49Z</dcterms:modified>
  <cp:category/>
  <cp:contentStatus/>
</cp:coreProperties>
</file>